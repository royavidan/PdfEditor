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mc:AlternateContent xmlns:mc="http://schemas.openxmlformats.org/markup-compatibility/2006">
    <mc:Choice Requires="x15">
      <x15ac:absPath xmlns:x15ac="http://schemas.microsoft.com/office/spreadsheetml/2010/11/ac" url="C:\Users\AVIDANHOME\Desktop\Roy tests\"/>
    </mc:Choice>
  </mc:AlternateContent>
  <xr:revisionPtr revIDLastSave="0" documentId="13_ncr:1_{FB3BAEEB-7D41-4CD4-9600-BF8E063D4C16}" xr6:coauthVersionLast="47" xr6:coauthVersionMax="47" xr10:uidLastSave="{00000000-0000-0000-0000-000000000000}"/>
  <bookViews>
    <workbookView xWindow="-120" yWindow="-120" windowWidth="29040" windowHeight="15840" xr2:uid="{B98F7CF3-CFB9-479E-A1BE-AEA176CE71A0}"/>
  </bookViews>
  <sheets>
    <sheet name="דוח ביקורת" sheetId="6" r:id="rId1"/>
    <sheet name="גיליון1" sheetId="17" r:id="rId2"/>
    <sheet name="מינ- מקס" sheetId="16" r:id="rId3"/>
    <sheet name="תהליך דפינה 2 " sheetId="15" r:id="rId4"/>
    <sheet name="תהליך דפינה 1" sheetId="14" r:id="rId5"/>
    <sheet name="COC" sheetId="13" r:id="rId6"/>
    <sheet name="פריט ראשון" sheetId="12" r:id="rId7"/>
    <sheet name="FAI" sheetId="9" r:id="rId8"/>
    <sheet name="RC" sheetId="11" r:id="rId9"/>
    <sheet name="מבקר" sheetId="7" r:id="rId10"/>
    <sheet name="ספקים ותהליכים" sheetId="10" r:id="rId11"/>
    <sheet name="אפיון מידה" sheetId="3" r:id="rId12"/>
    <sheet name="כלי מדידה" sheetId="4" r:id="rId13"/>
    <sheet name="לכוחות" sheetId="18" r:id="rId14"/>
    <sheet name="דגימה" sheetId="2" r:id="rId15"/>
  </sheets>
  <definedNames>
    <definedName name="_xlnm._FilterDatabase" localSheetId="11" hidden="1">'אפיון מידה'!$P$6:$P$37</definedName>
    <definedName name="_xlnm._FilterDatabase" localSheetId="14" hidden="1">דגימה!$Y$1:$AE$15</definedName>
    <definedName name="_xlnm._FilterDatabase" localSheetId="12" hidden="1">'כלי מדידה'!$U$10:$U$49</definedName>
    <definedName name="_xlnm._FilterDatabase" localSheetId="10" hidden="1">'ספקים ותהליכים'!$M$2:$M$10</definedName>
    <definedName name="_xlnm._FilterDatabase" localSheetId="4" hidden="1">'תהליך דפינה 1'!$A$19:$I$65</definedName>
    <definedName name="_xlnm._FilterDatabase" localSheetId="3" hidden="1">'תהליך דפינה 2 '!$A$19:$I$65</definedName>
    <definedName name="_Hlk98841350" localSheetId="8">'RC'!$A$37</definedName>
    <definedName name="Check1" localSheetId="7">FAI!$D$12</definedName>
    <definedName name="Check3" localSheetId="7">FAI!$B$12</definedName>
    <definedName name="Check4" localSheetId="7">FAI!$B$15</definedName>
    <definedName name="Check5" localSheetId="7">FAI!$E$20</definedName>
    <definedName name="_xlnm.Print_Area" localSheetId="5">COC!$A$1:$I$45</definedName>
    <definedName name="_xlnm.Print_Area" localSheetId="7">FAI!$L$1:$T$114</definedName>
    <definedName name="_xlnm.Print_Area" localSheetId="0">'דוח ביקורת'!$A$1:$BL$112</definedName>
    <definedName name="_xlnm.Print_Titles" localSheetId="0">'דוח ביקורת'!$A:$J,'דוח ביקורת'!$20:$21</definedName>
    <definedName name="_xlnm.Print_Titles" localSheetId="2">'מינ- מקס'!$1:$20</definedName>
    <definedName name="_xlnm.Print_Titles" localSheetId="6">'פריט ראשון'!$1:$20</definedName>
    <definedName name="_xlnm.Print_Titles" localSheetId="4">'תהליך דפינה 1'!$1:$19</definedName>
    <definedName name="_xlnm.Print_Titles" localSheetId="3">'תהליך דפינה 2 '!$1:$19</definedName>
    <definedName name="Z_6A413C5E_66D3_4F44_AAA6_E84C5671B7D4_.wvu.FilterData" localSheetId="11" hidden="1">'אפיון מידה'!$P$6:$P$37</definedName>
    <definedName name="Z_6A413C5E_66D3_4F44_AAA6_E84C5671B7D4_.wvu.FilterData" localSheetId="14" hidden="1">דגימה!$Y$1:$AE$15</definedName>
    <definedName name="Z_6A413C5E_66D3_4F44_AAA6_E84C5671B7D4_.wvu.FilterData" localSheetId="12" hidden="1">'כלי מדידה'!$U$10:$U$49</definedName>
    <definedName name="Z_6A413C5E_66D3_4F44_AAA6_E84C5671B7D4_.wvu.PrintTitles" localSheetId="0" hidden="1">'דוח ביקורת'!$A:$J,'דוח ביקורת'!$20:$21</definedName>
  </definedNames>
  <calcPr calcId="191029"/>
  <customWorkbookViews>
    <customWorkbookView name="ברירת מחדל" guid="{6A413C5E-66D3-4F44-AAA6-E84C5671B7D4}" maximized="1" xWindow="-8" yWindow="-8" windowWidth="1936" windowHeight="1056" activeSheetId="6"/>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16" l="1"/>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D22" i="16"/>
  <c r="E100" i="16"/>
  <c r="D100" i="16"/>
  <c r="E99" i="16"/>
  <c r="D99" i="16"/>
  <c r="E98" i="16"/>
  <c r="D98" i="16"/>
  <c r="E97" i="16"/>
  <c r="D97" i="16"/>
  <c r="E96" i="16"/>
  <c r="D96" i="16"/>
  <c r="E95" i="16"/>
  <c r="D95" i="16"/>
  <c r="E94" i="16"/>
  <c r="D94" i="16"/>
  <c r="E93" i="16"/>
  <c r="D93" i="16"/>
  <c r="E92" i="16"/>
  <c r="D92" i="16"/>
  <c r="E91" i="16"/>
  <c r="D91" i="16"/>
  <c r="E90" i="16"/>
  <c r="D90" i="16"/>
  <c r="E89" i="16"/>
  <c r="D89" i="16"/>
  <c r="E88" i="16"/>
  <c r="D88" i="16"/>
  <c r="E87" i="16"/>
  <c r="D87" i="16"/>
  <c r="E86" i="16"/>
  <c r="D86" i="16"/>
  <c r="E85" i="16"/>
  <c r="D85" i="16"/>
  <c r="E84" i="16"/>
  <c r="D84" i="16"/>
  <c r="E83" i="16"/>
  <c r="D83" i="16"/>
  <c r="E82" i="16"/>
  <c r="D82" i="16"/>
  <c r="E81" i="16"/>
  <c r="D81" i="16"/>
  <c r="E80" i="16"/>
  <c r="D80" i="16"/>
  <c r="E79" i="16"/>
  <c r="D79" i="16"/>
  <c r="E78" i="16"/>
  <c r="D78" i="16"/>
  <c r="E77" i="16"/>
  <c r="D77" i="16"/>
  <c r="E76" i="16"/>
  <c r="D76" i="16"/>
  <c r="E75" i="16"/>
  <c r="D75" i="16"/>
  <c r="E74" i="16"/>
  <c r="D74" i="16"/>
  <c r="E73" i="16"/>
  <c r="D73" i="16"/>
  <c r="E72" i="16"/>
  <c r="D72" i="16"/>
  <c r="E71" i="16"/>
  <c r="D71" i="16"/>
  <c r="E70" i="16"/>
  <c r="D70" i="16"/>
  <c r="E69" i="16"/>
  <c r="D69" i="16"/>
  <c r="E68" i="16"/>
  <c r="D68" i="16"/>
  <c r="E67" i="16"/>
  <c r="D67" i="16"/>
  <c r="E66" i="16"/>
  <c r="D66" i="16"/>
  <c r="E65" i="16"/>
  <c r="D65" i="16"/>
  <c r="E64" i="16"/>
  <c r="D64" i="16"/>
  <c r="E63" i="16"/>
  <c r="D63" i="16"/>
  <c r="E62" i="16"/>
  <c r="D62" i="16"/>
  <c r="E61" i="16"/>
  <c r="D61" i="16"/>
  <c r="E60" i="16"/>
  <c r="D60" i="16"/>
  <c r="E59" i="16"/>
  <c r="D59" i="16"/>
  <c r="E58" i="16"/>
  <c r="D58" i="16"/>
  <c r="E57" i="16"/>
  <c r="D57" i="16"/>
  <c r="E56" i="16"/>
  <c r="D56" i="16"/>
  <c r="E55" i="16"/>
  <c r="D55" i="16"/>
  <c r="E54" i="16"/>
  <c r="D54" i="16"/>
  <c r="E53" i="16"/>
  <c r="D53" i="16"/>
  <c r="E52" i="16"/>
  <c r="D52" i="16"/>
  <c r="E51" i="16"/>
  <c r="D51" i="16"/>
  <c r="E50" i="16"/>
  <c r="D50" i="16"/>
  <c r="E49" i="16"/>
  <c r="D49" i="16"/>
  <c r="E48" i="16"/>
  <c r="D48" i="16"/>
  <c r="E47" i="16"/>
  <c r="D47" i="16"/>
  <c r="E46" i="16"/>
  <c r="D46" i="16"/>
  <c r="E45" i="16"/>
  <c r="D45" i="16"/>
  <c r="E44" i="16"/>
  <c r="D44" i="16"/>
  <c r="E43" i="16"/>
  <c r="D43" i="16"/>
  <c r="E42" i="16"/>
  <c r="D42" i="16"/>
  <c r="E41" i="16"/>
  <c r="D41" i="16"/>
  <c r="E40" i="16"/>
  <c r="D40" i="16"/>
  <c r="E39" i="16"/>
  <c r="D39" i="16"/>
  <c r="E38" i="16"/>
  <c r="D38" i="16"/>
  <c r="E37" i="16"/>
  <c r="D37" i="16"/>
  <c r="E36" i="16"/>
  <c r="D36" i="16"/>
  <c r="E35" i="16"/>
  <c r="D35" i="16"/>
  <c r="E34" i="16"/>
  <c r="D34" i="16"/>
  <c r="E33" i="16"/>
  <c r="D33" i="16"/>
  <c r="E32" i="16"/>
  <c r="D32" i="16"/>
  <c r="E31" i="16"/>
  <c r="D31" i="16"/>
  <c r="E30" i="16"/>
  <c r="D30" i="16"/>
  <c r="E29" i="16"/>
  <c r="D29" i="16"/>
  <c r="E28" i="16"/>
  <c r="D28" i="16"/>
  <c r="E27" i="16"/>
  <c r="D27" i="16"/>
  <c r="E26" i="16"/>
  <c r="D26" i="16"/>
  <c r="E25" i="16"/>
  <c r="D25" i="16"/>
  <c r="E24" i="16"/>
  <c r="D24" i="16"/>
  <c r="E23" i="16"/>
  <c r="D23" i="16"/>
  <c r="E22" i="16"/>
  <c r="G17" i="16"/>
  <c r="J11" i="16"/>
  <c r="I20" i="7" a="1"/>
  <c r="I20" i="7" s="1"/>
  <c r="A13" i="13" s="1"/>
  <c r="A9" i="13"/>
  <c r="A19" i="13"/>
  <c r="H65" i="15"/>
  <c r="F65" i="15"/>
  <c r="E65" i="15"/>
  <c r="D65" i="15"/>
  <c r="B65" i="15"/>
  <c r="H64" i="15"/>
  <c r="F64" i="15"/>
  <c r="E64" i="15"/>
  <c r="D64" i="15"/>
  <c r="B64" i="15"/>
  <c r="H63" i="15"/>
  <c r="F63" i="15"/>
  <c r="E63" i="15"/>
  <c r="D63" i="15"/>
  <c r="B63" i="15"/>
  <c r="H62" i="15"/>
  <c r="F62" i="15"/>
  <c r="E62" i="15"/>
  <c r="D62" i="15"/>
  <c r="B62" i="15"/>
  <c r="H61" i="15"/>
  <c r="F61" i="15"/>
  <c r="E61" i="15"/>
  <c r="D61" i="15"/>
  <c r="B61" i="15"/>
  <c r="H60" i="15"/>
  <c r="F60" i="15"/>
  <c r="E60" i="15"/>
  <c r="D60" i="15"/>
  <c r="B60" i="15"/>
  <c r="H59" i="15"/>
  <c r="F59" i="15"/>
  <c r="E59" i="15"/>
  <c r="D59" i="15"/>
  <c r="B59" i="15"/>
  <c r="H58" i="15"/>
  <c r="F58" i="15"/>
  <c r="E58" i="15"/>
  <c r="D58" i="15"/>
  <c r="B58" i="15"/>
  <c r="H57" i="15"/>
  <c r="F57" i="15"/>
  <c r="E57" i="15"/>
  <c r="D57" i="15"/>
  <c r="B57" i="15"/>
  <c r="H56" i="15"/>
  <c r="F56" i="15"/>
  <c r="E56" i="15"/>
  <c r="D56" i="15"/>
  <c r="B56" i="15"/>
  <c r="H55" i="15"/>
  <c r="F55" i="15"/>
  <c r="E55" i="15"/>
  <c r="D55" i="15"/>
  <c r="B55" i="15"/>
  <c r="H54" i="15"/>
  <c r="F54" i="15"/>
  <c r="E54" i="15"/>
  <c r="D54" i="15"/>
  <c r="B54" i="15"/>
  <c r="H53" i="15"/>
  <c r="F53" i="15"/>
  <c r="E53" i="15"/>
  <c r="D53" i="15"/>
  <c r="B53" i="15"/>
  <c r="H52" i="15"/>
  <c r="F52" i="15"/>
  <c r="E52" i="15"/>
  <c r="D52" i="15"/>
  <c r="B52" i="15"/>
  <c r="H51" i="15"/>
  <c r="F51" i="15"/>
  <c r="E51" i="15"/>
  <c r="D51" i="15"/>
  <c r="B51" i="15"/>
  <c r="H50" i="15"/>
  <c r="F50" i="15"/>
  <c r="E50" i="15"/>
  <c r="D50" i="15"/>
  <c r="B50" i="15"/>
  <c r="H49" i="15"/>
  <c r="F49" i="15"/>
  <c r="E49" i="15"/>
  <c r="D49" i="15"/>
  <c r="B49" i="15"/>
  <c r="H48" i="15"/>
  <c r="F48" i="15"/>
  <c r="E48" i="15"/>
  <c r="D48" i="15"/>
  <c r="B48" i="15"/>
  <c r="H47" i="15"/>
  <c r="F47" i="15"/>
  <c r="E47" i="15"/>
  <c r="D47" i="15"/>
  <c r="B47" i="15"/>
  <c r="H46" i="15"/>
  <c r="F46" i="15"/>
  <c r="E46" i="15"/>
  <c r="D46" i="15"/>
  <c r="B46" i="15"/>
  <c r="H45" i="15"/>
  <c r="F45" i="15"/>
  <c r="E45" i="15"/>
  <c r="D45" i="15"/>
  <c r="B45" i="15"/>
  <c r="H44" i="15"/>
  <c r="F44" i="15"/>
  <c r="E44" i="15"/>
  <c r="D44" i="15"/>
  <c r="B44" i="15"/>
  <c r="H43" i="15"/>
  <c r="F43" i="15"/>
  <c r="E43" i="15"/>
  <c r="D43" i="15"/>
  <c r="B43" i="15"/>
  <c r="H42" i="15"/>
  <c r="F42" i="15"/>
  <c r="E42" i="15"/>
  <c r="D42" i="15"/>
  <c r="B42" i="15"/>
  <c r="H41" i="15"/>
  <c r="F41" i="15"/>
  <c r="E41" i="15"/>
  <c r="D41" i="15"/>
  <c r="B41" i="15"/>
  <c r="H40" i="15"/>
  <c r="F40" i="15"/>
  <c r="E40" i="15"/>
  <c r="D40" i="15"/>
  <c r="B40" i="15"/>
  <c r="H39" i="15"/>
  <c r="F39" i="15"/>
  <c r="E39" i="15"/>
  <c r="D39" i="15"/>
  <c r="B39" i="15"/>
  <c r="H38" i="15"/>
  <c r="F38" i="15"/>
  <c r="E38" i="15"/>
  <c r="D38" i="15"/>
  <c r="B38" i="15"/>
  <c r="H37" i="15"/>
  <c r="F37" i="15"/>
  <c r="E37" i="15"/>
  <c r="D37" i="15"/>
  <c r="B37" i="15"/>
  <c r="H36" i="15"/>
  <c r="F36" i="15"/>
  <c r="E36" i="15"/>
  <c r="D36" i="15"/>
  <c r="B36" i="15"/>
  <c r="H35" i="15"/>
  <c r="F35" i="15"/>
  <c r="E35" i="15"/>
  <c r="D35" i="15"/>
  <c r="B35" i="15"/>
  <c r="H34" i="15"/>
  <c r="F34" i="15"/>
  <c r="E34" i="15"/>
  <c r="D34" i="15"/>
  <c r="B34" i="15"/>
  <c r="H33" i="15"/>
  <c r="F33" i="15"/>
  <c r="E33" i="15"/>
  <c r="D33" i="15"/>
  <c r="B33" i="15"/>
  <c r="H32" i="15"/>
  <c r="F32" i="15"/>
  <c r="E32" i="15"/>
  <c r="D32" i="15"/>
  <c r="B32" i="15"/>
  <c r="H31" i="15"/>
  <c r="F31" i="15"/>
  <c r="E31" i="15"/>
  <c r="D31" i="15"/>
  <c r="B31" i="15"/>
  <c r="H30" i="15"/>
  <c r="F30" i="15"/>
  <c r="E30" i="15"/>
  <c r="D30" i="15"/>
  <c r="B30" i="15"/>
  <c r="H29" i="15"/>
  <c r="F29" i="15"/>
  <c r="E29" i="15"/>
  <c r="D29" i="15"/>
  <c r="B29" i="15"/>
  <c r="H28" i="15"/>
  <c r="F28" i="15"/>
  <c r="E28" i="15"/>
  <c r="D28" i="15"/>
  <c r="B28" i="15"/>
  <c r="H27" i="15"/>
  <c r="F27" i="15"/>
  <c r="E27" i="15"/>
  <c r="D27" i="15"/>
  <c r="B27" i="15"/>
  <c r="H26" i="15"/>
  <c r="F26" i="15"/>
  <c r="E26" i="15"/>
  <c r="D26" i="15"/>
  <c r="B26" i="15"/>
  <c r="H25" i="15"/>
  <c r="F25" i="15"/>
  <c r="E25" i="15"/>
  <c r="D25" i="15"/>
  <c r="B25" i="15"/>
  <c r="H24" i="15"/>
  <c r="F24" i="15"/>
  <c r="E24" i="15"/>
  <c r="D24" i="15"/>
  <c r="B24" i="15"/>
  <c r="H23" i="15"/>
  <c r="F23" i="15"/>
  <c r="E23" i="15"/>
  <c r="D23" i="15"/>
  <c r="B23" i="15"/>
  <c r="H22" i="15"/>
  <c r="F22" i="15"/>
  <c r="E22" i="15"/>
  <c r="D22" i="15"/>
  <c r="B22" i="15"/>
  <c r="H21" i="15"/>
  <c r="F21" i="15"/>
  <c r="E21" i="15"/>
  <c r="D21" i="15"/>
  <c r="B21" i="15"/>
  <c r="G17" i="15"/>
  <c r="J11" i="15"/>
  <c r="H22" i="14"/>
  <c r="H44" i="14"/>
  <c r="H45" i="14"/>
  <c r="H46" i="14"/>
  <c r="H47" i="14"/>
  <c r="H48" i="14"/>
  <c r="H49" i="14"/>
  <c r="H50" i="14"/>
  <c r="H51" i="14"/>
  <c r="H52" i="14"/>
  <c r="H53" i="14"/>
  <c r="H54" i="14"/>
  <c r="H55" i="14"/>
  <c r="H56" i="14"/>
  <c r="H57" i="14"/>
  <c r="H58" i="14"/>
  <c r="H59" i="14"/>
  <c r="H60" i="14"/>
  <c r="H61" i="14"/>
  <c r="H62" i="14"/>
  <c r="H63" i="14"/>
  <c r="H64" i="14"/>
  <c r="H65" i="14"/>
  <c r="F22" i="14"/>
  <c r="F44" i="14"/>
  <c r="F45" i="14"/>
  <c r="F46" i="14"/>
  <c r="F47" i="14"/>
  <c r="F48" i="14"/>
  <c r="F49" i="14"/>
  <c r="F50" i="14"/>
  <c r="F51" i="14"/>
  <c r="F52" i="14"/>
  <c r="F53" i="14"/>
  <c r="F54" i="14"/>
  <c r="F55" i="14"/>
  <c r="F56" i="14"/>
  <c r="F57" i="14"/>
  <c r="F58" i="14"/>
  <c r="F59" i="14"/>
  <c r="F60" i="14"/>
  <c r="F61" i="14"/>
  <c r="F62" i="14"/>
  <c r="F63" i="14"/>
  <c r="F64" i="14"/>
  <c r="F65" i="14"/>
  <c r="E22" i="14"/>
  <c r="E44" i="14"/>
  <c r="E45" i="14"/>
  <c r="E46" i="14"/>
  <c r="E47" i="14"/>
  <c r="E48" i="14"/>
  <c r="E49" i="14"/>
  <c r="E50" i="14"/>
  <c r="E51" i="14"/>
  <c r="E52" i="14"/>
  <c r="E53" i="14"/>
  <c r="E54" i="14"/>
  <c r="E55" i="14"/>
  <c r="E56" i="14"/>
  <c r="E57" i="14"/>
  <c r="E58" i="14"/>
  <c r="E59" i="14"/>
  <c r="E60" i="14"/>
  <c r="E61" i="14"/>
  <c r="E62" i="14"/>
  <c r="E63" i="14"/>
  <c r="E64" i="14"/>
  <c r="E65" i="14"/>
  <c r="D44" i="14"/>
  <c r="D45" i="14"/>
  <c r="D46" i="14"/>
  <c r="D47" i="14"/>
  <c r="D48" i="14"/>
  <c r="D49" i="14"/>
  <c r="D50" i="14"/>
  <c r="D51" i="14"/>
  <c r="D52" i="14"/>
  <c r="D53" i="14"/>
  <c r="D54" i="14"/>
  <c r="D55" i="14"/>
  <c r="D56" i="14"/>
  <c r="D57" i="14"/>
  <c r="D58" i="14"/>
  <c r="D59" i="14"/>
  <c r="D60" i="14"/>
  <c r="D61" i="14"/>
  <c r="D62" i="14"/>
  <c r="D63" i="14"/>
  <c r="D64" i="14"/>
  <c r="D65" i="14"/>
  <c r="H21" i="14"/>
  <c r="F21" i="14"/>
  <c r="B44" i="14"/>
  <c r="B45" i="14"/>
  <c r="B46" i="14"/>
  <c r="B47" i="14"/>
  <c r="B48" i="14"/>
  <c r="B49" i="14"/>
  <c r="B50" i="14"/>
  <c r="B51" i="14"/>
  <c r="B52" i="14"/>
  <c r="B53" i="14"/>
  <c r="B54" i="14"/>
  <c r="B55" i="14"/>
  <c r="B56" i="14"/>
  <c r="B57" i="14"/>
  <c r="B58" i="14"/>
  <c r="B59" i="14"/>
  <c r="B60" i="14"/>
  <c r="B61" i="14"/>
  <c r="B62" i="14"/>
  <c r="B63" i="14"/>
  <c r="B64" i="14"/>
  <c r="B65" i="14"/>
  <c r="G17" i="14"/>
  <c r="J11" i="14"/>
  <c r="I24" i="7" l="1" a="1"/>
  <c r="I24" i="7" s="1"/>
  <c r="A25" i="13" s="1"/>
  <c r="G24" i="7" a="1"/>
  <c r="G24" i="7" s="1"/>
  <c r="A23" i="13" s="1"/>
  <c r="C107" i="6"/>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29" i="12"/>
  <c r="J28" i="12"/>
  <c r="J27" i="12"/>
  <c r="J26" i="12"/>
  <c r="J25" i="12"/>
  <c r="J24" i="12"/>
  <c r="J23" i="12"/>
  <c r="J22" i="12"/>
  <c r="G17" i="12"/>
  <c r="S3" i="7" a="1"/>
  <c r="S3" i="7" s="1"/>
  <c r="S4" i="7" a="1"/>
  <c r="S4" i="7" s="1"/>
  <c r="S5" i="7" a="1"/>
  <c r="S5" i="7" s="1"/>
  <c r="S6" i="7" a="1"/>
  <c r="S6" i="7" s="1"/>
  <c r="S7" i="7" a="1"/>
  <c r="S7" i="7" s="1"/>
  <c r="S8" i="7" a="1"/>
  <c r="S8" i="7" s="1"/>
  <c r="S9" i="7" a="1"/>
  <c r="S9" i="7" s="1"/>
  <c r="S10" i="7" a="1"/>
  <c r="S10" i="7" s="1"/>
  <c r="S11" i="7" a="1"/>
  <c r="S11" i="7" s="1"/>
  <c r="S12" i="7" a="1"/>
  <c r="S12" i="7" s="1"/>
  <c r="S13" i="7" a="1"/>
  <c r="S13" i="7" s="1"/>
  <c r="S14" i="7" a="1"/>
  <c r="S14" i="7" s="1"/>
  <c r="S15" i="7" a="1"/>
  <c r="S15" i="7" s="1"/>
  <c r="S16" i="7" a="1"/>
  <c r="S16" i="7" s="1"/>
  <c r="S17" i="7" a="1"/>
  <c r="S17" i="7" s="1"/>
  <c r="S18" i="7" a="1"/>
  <c r="S18" i="7" s="1"/>
  <c r="S19" i="7" a="1"/>
  <c r="S19" i="7" s="1"/>
  <c r="S20" i="7" a="1"/>
  <c r="S20" i="7" s="1"/>
  <c r="S21" i="7" a="1"/>
  <c r="S21" i="7" s="1"/>
  <c r="S22" i="7" a="1"/>
  <c r="S22" i="7" s="1"/>
  <c r="S23" i="7" a="1"/>
  <c r="S23" i="7" s="1"/>
  <c r="S24" i="7" a="1"/>
  <c r="S24" i="7" s="1"/>
  <c r="S25" i="7" a="1"/>
  <c r="S25" i="7" s="1"/>
  <c r="S26" i="7" a="1"/>
  <c r="S26" i="7" s="1"/>
  <c r="S27" i="7" a="1"/>
  <c r="S27" i="7" s="1"/>
  <c r="S28" i="7" a="1"/>
  <c r="S28" i="7" s="1"/>
  <c r="S29" i="7" a="1"/>
  <c r="S29" i="7" s="1"/>
  <c r="S30" i="7" a="1"/>
  <c r="S30" i="7" s="1"/>
  <c r="S31" i="7" a="1"/>
  <c r="S31" i="7" s="1"/>
  <c r="S32" i="7" a="1"/>
  <c r="S32" i="7" s="1"/>
  <c r="S33" i="7" a="1"/>
  <c r="S33" i="7" s="1"/>
  <c r="S34" i="7" a="1"/>
  <c r="S34" i="7" s="1"/>
  <c r="S35" i="7" a="1"/>
  <c r="S35" i="7" s="1"/>
  <c r="S36" i="7" a="1"/>
  <c r="S36" i="7" s="1"/>
  <c r="S37" i="7" a="1"/>
  <c r="S37" i="7" s="1"/>
  <c r="S38" i="7" a="1"/>
  <c r="S38" i="7" s="1"/>
  <c r="S39" i="7" a="1"/>
  <c r="S39" i="7" s="1"/>
  <c r="S40" i="7" a="1"/>
  <c r="S40" i="7" s="1"/>
  <c r="S41" i="7" a="1"/>
  <c r="S41" i="7" s="1"/>
  <c r="S42" i="7" a="1"/>
  <c r="S42" i="7" s="1"/>
  <c r="S43" i="7" a="1"/>
  <c r="S43" i="7" s="1"/>
  <c r="S44" i="7" a="1"/>
  <c r="S44" i="7" s="1"/>
  <c r="S45" i="7" a="1"/>
  <c r="S45" i="7" s="1"/>
  <c r="S46" i="7" a="1"/>
  <c r="S46" i="7" s="1"/>
  <c r="S47" i="7" a="1"/>
  <c r="S47" i="7" s="1"/>
  <c r="S48" i="7" a="1"/>
  <c r="S48" i="7" s="1"/>
  <c r="S49" i="7" a="1"/>
  <c r="S49" i="7" s="1"/>
  <c r="S50" i="7" a="1"/>
  <c r="S50" i="7" s="1"/>
  <c r="S51" i="7" a="1"/>
  <c r="S51" i="7" s="1"/>
  <c r="S52" i="7" a="1"/>
  <c r="S52" i="7" s="1"/>
  <c r="S53" i="7" a="1"/>
  <c r="S53" i="7" s="1"/>
  <c r="S54" i="7" a="1"/>
  <c r="S54" i="7" s="1"/>
  <c r="S55" i="7" a="1"/>
  <c r="S55" i="7" s="1"/>
  <c r="S56" i="7" a="1"/>
  <c r="S56" i="7" s="1"/>
  <c r="S57" i="7" a="1"/>
  <c r="S57" i="7" s="1"/>
  <c r="S58" i="7" a="1"/>
  <c r="S58" i="7" s="1"/>
  <c r="S59" i="7" a="1"/>
  <c r="S59" i="7" s="1"/>
  <c r="S60" i="7" a="1"/>
  <c r="S60" i="7" s="1"/>
  <c r="S61" i="7" a="1"/>
  <c r="S61" i="7" s="1"/>
  <c r="S62" i="7" a="1"/>
  <c r="S62" i="7" s="1"/>
  <c r="S63" i="7" a="1"/>
  <c r="S63" i="7" s="1"/>
  <c r="S64" i="7" a="1"/>
  <c r="S64" i="7" s="1"/>
  <c r="S65" i="7" a="1"/>
  <c r="S65" i="7" s="1"/>
  <c r="S66" i="7" a="1"/>
  <c r="S66" i="7" s="1"/>
  <c r="S67" i="7" a="1"/>
  <c r="S67" i="7" s="1"/>
  <c r="S68" i="7" a="1"/>
  <c r="S68" i="7" s="1"/>
  <c r="S69" i="7" a="1"/>
  <c r="S69" i="7" s="1"/>
  <c r="S70" i="7" a="1"/>
  <c r="S70" i="7" s="1"/>
  <c r="S71" i="7" a="1"/>
  <c r="S71" i="7" s="1"/>
  <c r="S72" i="7" a="1"/>
  <c r="S72" i="7" s="1"/>
  <c r="S73" i="7" a="1"/>
  <c r="S73" i="7" s="1"/>
  <c r="S74" i="7" a="1"/>
  <c r="S74" i="7" s="1"/>
  <c r="S75" i="7" a="1"/>
  <c r="S75" i="7" s="1"/>
  <c r="S76" i="7" a="1"/>
  <c r="S76" i="7" s="1"/>
  <c r="S77" i="7" a="1"/>
  <c r="S77" i="7" s="1"/>
  <c r="S78" i="7" a="1"/>
  <c r="S78" i="7" s="1"/>
  <c r="S79" i="7" a="1"/>
  <c r="S79" i="7" s="1"/>
  <c r="S80" i="7" a="1"/>
  <c r="S80" i="7" s="1"/>
  <c r="S81" i="7" a="1"/>
  <c r="S81" i="7" s="1"/>
  <c r="S2" i="7" a="1"/>
  <c r="S2" i="7" s="1"/>
  <c r="G22" i="16" s="1"/>
  <c r="Q3" i="7" a="1"/>
  <c r="Q3" i="7" s="1"/>
  <c r="Q4" i="7" a="1"/>
  <c r="Q4" i="7" s="1"/>
  <c r="Q5" i="7" a="1"/>
  <c r="Q5" i="7" s="1"/>
  <c r="Q6" i="7" a="1"/>
  <c r="Q6" i="7" s="1"/>
  <c r="Q7" i="7" a="1"/>
  <c r="Q7" i="7" s="1"/>
  <c r="Q8" i="7" a="1"/>
  <c r="Q8" i="7" s="1"/>
  <c r="F28" i="12" s="1"/>
  <c r="Q9" i="7" a="1"/>
  <c r="Q9" i="7" s="1"/>
  <c r="F29" i="12" s="1"/>
  <c r="Q10" i="7" a="1"/>
  <c r="Q10" i="7" s="1"/>
  <c r="F30" i="12" s="1"/>
  <c r="Q11" i="7" a="1"/>
  <c r="Q11" i="7" s="1"/>
  <c r="F31" i="12" s="1"/>
  <c r="Q12" i="7" a="1"/>
  <c r="Q12" i="7" s="1"/>
  <c r="F32" i="12" s="1"/>
  <c r="Q13" i="7" a="1"/>
  <c r="Q13" i="7" s="1"/>
  <c r="F33" i="12" s="1"/>
  <c r="Q14" i="7" a="1"/>
  <c r="Q14" i="7" s="1"/>
  <c r="F34" i="12" s="1"/>
  <c r="Q15" i="7" a="1"/>
  <c r="Q15" i="7" s="1"/>
  <c r="F35" i="12" s="1"/>
  <c r="Q16" i="7" a="1"/>
  <c r="Q16" i="7" s="1"/>
  <c r="F36" i="12" s="1"/>
  <c r="Q17" i="7" a="1"/>
  <c r="Q17" i="7" s="1"/>
  <c r="F37" i="12" s="1"/>
  <c r="Q18" i="7" a="1"/>
  <c r="Q18" i="7" s="1"/>
  <c r="F38" i="12" s="1"/>
  <c r="Q19" i="7" a="1"/>
  <c r="Q19" i="7" s="1"/>
  <c r="F39" i="12" s="1"/>
  <c r="Q20" i="7" a="1"/>
  <c r="Q20" i="7" s="1"/>
  <c r="F40" i="12" s="1"/>
  <c r="Q21" i="7" a="1"/>
  <c r="Q21" i="7" s="1"/>
  <c r="F41" i="12" s="1"/>
  <c r="Q22" i="7" a="1"/>
  <c r="Q22" i="7" s="1"/>
  <c r="F42" i="12" s="1"/>
  <c r="Q23" i="7" a="1"/>
  <c r="Q23" i="7" s="1"/>
  <c r="F43" i="12" s="1"/>
  <c r="Q24" i="7" a="1"/>
  <c r="Q24" i="7" s="1"/>
  <c r="F44" i="12" s="1"/>
  <c r="Q25" i="7" a="1"/>
  <c r="Q25" i="7" s="1"/>
  <c r="F45" i="12" s="1"/>
  <c r="Q26" i="7" a="1"/>
  <c r="Q26" i="7" s="1"/>
  <c r="F46" i="12" s="1"/>
  <c r="Q27" i="7" a="1"/>
  <c r="Q27" i="7" s="1"/>
  <c r="F47" i="12" s="1"/>
  <c r="Q28" i="7" a="1"/>
  <c r="Q28" i="7" s="1"/>
  <c r="F48" i="12" s="1"/>
  <c r="Q29" i="7" a="1"/>
  <c r="Q29" i="7" s="1"/>
  <c r="F49" i="12" s="1"/>
  <c r="Q30" i="7" a="1"/>
  <c r="Q30" i="7" s="1"/>
  <c r="F50" i="12" s="1"/>
  <c r="Q31" i="7" a="1"/>
  <c r="Q31" i="7" s="1"/>
  <c r="F51" i="12" s="1"/>
  <c r="Q32" i="7" a="1"/>
  <c r="Q32" i="7" s="1"/>
  <c r="F52" i="12" s="1"/>
  <c r="Q33" i="7" a="1"/>
  <c r="Q33" i="7" s="1"/>
  <c r="F53" i="12" s="1"/>
  <c r="Q34" i="7" a="1"/>
  <c r="Q34" i="7" s="1"/>
  <c r="F54" i="12" s="1"/>
  <c r="Q35" i="7" a="1"/>
  <c r="Q35" i="7" s="1"/>
  <c r="F55" i="12" s="1"/>
  <c r="Q36" i="7" a="1"/>
  <c r="Q36" i="7" s="1"/>
  <c r="F56" i="12" s="1"/>
  <c r="Q37" i="7" a="1"/>
  <c r="Q37" i="7" s="1"/>
  <c r="F57" i="12" s="1"/>
  <c r="Q38" i="7" a="1"/>
  <c r="Q38" i="7" s="1"/>
  <c r="F58" i="12" s="1"/>
  <c r="Q39" i="7" a="1"/>
  <c r="Q39" i="7" s="1"/>
  <c r="F59" i="12" s="1"/>
  <c r="Q40" i="7" a="1"/>
  <c r="Q40" i="7" s="1"/>
  <c r="F60" i="12" s="1"/>
  <c r="Q41" i="7" a="1"/>
  <c r="Q41" i="7" s="1"/>
  <c r="F61" i="12" s="1"/>
  <c r="Q42" i="7" a="1"/>
  <c r="Q42" i="7" s="1"/>
  <c r="F62" i="12" s="1"/>
  <c r="Q43" i="7" a="1"/>
  <c r="Q43" i="7" s="1"/>
  <c r="F63" i="12" s="1"/>
  <c r="Q44" i="7" a="1"/>
  <c r="Q44" i="7" s="1"/>
  <c r="F64" i="12" s="1"/>
  <c r="Q45" i="7" a="1"/>
  <c r="Q45" i="7" s="1"/>
  <c r="F65" i="12" s="1"/>
  <c r="Q46" i="7" a="1"/>
  <c r="Q46" i="7" s="1"/>
  <c r="F66" i="12" s="1"/>
  <c r="Q47" i="7" a="1"/>
  <c r="Q47" i="7" s="1"/>
  <c r="F67" i="12" s="1"/>
  <c r="Q48" i="7" a="1"/>
  <c r="Q48" i="7" s="1"/>
  <c r="F68" i="12" s="1"/>
  <c r="Q49" i="7" a="1"/>
  <c r="Q49" i="7" s="1"/>
  <c r="F69" i="12" s="1"/>
  <c r="Q50" i="7" a="1"/>
  <c r="Q50" i="7" s="1"/>
  <c r="F70" i="12" s="1"/>
  <c r="Q51" i="7" a="1"/>
  <c r="Q51" i="7" s="1"/>
  <c r="F71" i="12" s="1"/>
  <c r="Q52" i="7" a="1"/>
  <c r="Q52" i="7" s="1"/>
  <c r="F72" i="12" s="1"/>
  <c r="Q53" i="7" a="1"/>
  <c r="Q53" i="7" s="1"/>
  <c r="F73" i="12" s="1"/>
  <c r="Q54" i="7" a="1"/>
  <c r="Q54" i="7" s="1"/>
  <c r="F74" i="12" s="1"/>
  <c r="Q55" i="7" a="1"/>
  <c r="Q55" i="7" s="1"/>
  <c r="F75" i="12" s="1"/>
  <c r="Q56" i="7" a="1"/>
  <c r="Q56" i="7" s="1"/>
  <c r="F76" i="12" s="1"/>
  <c r="Q57" i="7" a="1"/>
  <c r="Q57" i="7" s="1"/>
  <c r="F77" i="12" s="1"/>
  <c r="Q58" i="7" a="1"/>
  <c r="Q58" i="7" s="1"/>
  <c r="F78" i="12" s="1"/>
  <c r="Q59" i="7" a="1"/>
  <c r="Q59" i="7" s="1"/>
  <c r="F79" i="12" s="1"/>
  <c r="Q60" i="7" a="1"/>
  <c r="Q60" i="7" s="1"/>
  <c r="F80" i="12" s="1"/>
  <c r="Q61" i="7" a="1"/>
  <c r="Q61" i="7" s="1"/>
  <c r="F81" i="12" s="1"/>
  <c r="Q62" i="7" a="1"/>
  <c r="Q62" i="7" s="1"/>
  <c r="F82" i="12" s="1"/>
  <c r="Q63" i="7" a="1"/>
  <c r="Q63" i="7" s="1"/>
  <c r="F83" i="12" s="1"/>
  <c r="Q64" i="7" a="1"/>
  <c r="Q64" i="7" s="1"/>
  <c r="F84" i="12" s="1"/>
  <c r="Q65" i="7" a="1"/>
  <c r="Q65" i="7" s="1"/>
  <c r="F85" i="12" s="1"/>
  <c r="Q66" i="7" a="1"/>
  <c r="Q66" i="7" s="1"/>
  <c r="F86" i="12" s="1"/>
  <c r="Q67" i="7" a="1"/>
  <c r="Q67" i="7" s="1"/>
  <c r="F87" i="12" s="1"/>
  <c r="Q68" i="7" a="1"/>
  <c r="Q68" i="7" s="1"/>
  <c r="F88" i="12" s="1"/>
  <c r="Q69" i="7" a="1"/>
  <c r="Q69" i="7" s="1"/>
  <c r="F89" i="12" s="1"/>
  <c r="Q70" i="7" a="1"/>
  <c r="Q70" i="7" s="1"/>
  <c r="F90" i="12" s="1"/>
  <c r="Q71" i="7" a="1"/>
  <c r="Q71" i="7" s="1"/>
  <c r="F91" i="12" s="1"/>
  <c r="Q72" i="7" a="1"/>
  <c r="Q72" i="7" s="1"/>
  <c r="F92" i="12" s="1"/>
  <c r="Q73" i="7" a="1"/>
  <c r="Q73" i="7" s="1"/>
  <c r="F93" i="12" s="1"/>
  <c r="Q74" i="7" a="1"/>
  <c r="Q74" i="7" s="1"/>
  <c r="F94" i="12" s="1"/>
  <c r="Q75" i="7" a="1"/>
  <c r="Q75" i="7" s="1"/>
  <c r="F95" i="12" s="1"/>
  <c r="Q76" i="7" a="1"/>
  <c r="Q76" i="7" s="1"/>
  <c r="F96" i="12" s="1"/>
  <c r="Q77" i="7" a="1"/>
  <c r="Q77" i="7" s="1"/>
  <c r="F97" i="12" s="1"/>
  <c r="Q78" i="7" a="1"/>
  <c r="Q78" i="7" s="1"/>
  <c r="F98" i="12" s="1"/>
  <c r="Q79" i="7" a="1"/>
  <c r="Q79" i="7" s="1"/>
  <c r="F99" i="12" s="1"/>
  <c r="Q80" i="7" a="1"/>
  <c r="Q80" i="7" s="1"/>
  <c r="F100" i="12" s="1"/>
  <c r="Q81" i="7" a="1"/>
  <c r="Q81" i="7" s="1"/>
  <c r="Q2" i="7" a="1"/>
  <c r="Q2" i="7" s="1"/>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22" i="12"/>
  <c r="O3" i="7" a="1"/>
  <c r="O3" i="7" s="1"/>
  <c r="O4" i="7" a="1"/>
  <c r="O4" i="7" s="1"/>
  <c r="O5" i="7" a="1"/>
  <c r="O5" i="7" s="1"/>
  <c r="O6" i="7" a="1"/>
  <c r="O6" i="7" s="1"/>
  <c r="O7" i="7" a="1"/>
  <c r="O7" i="7" s="1"/>
  <c r="O8" i="7" a="1"/>
  <c r="O8" i="7" s="1"/>
  <c r="B28" i="12" s="1"/>
  <c r="O9" i="7" a="1"/>
  <c r="O9" i="7" s="1"/>
  <c r="B29" i="12" s="1"/>
  <c r="O10" i="7" a="1"/>
  <c r="O10" i="7" s="1"/>
  <c r="B30" i="12" s="1"/>
  <c r="O11" i="7" a="1"/>
  <c r="O11" i="7" s="1"/>
  <c r="B31" i="12" s="1"/>
  <c r="O12" i="7" a="1"/>
  <c r="O12" i="7" s="1"/>
  <c r="B32" i="12" s="1"/>
  <c r="O13" i="7" a="1"/>
  <c r="O13" i="7" s="1"/>
  <c r="B33" i="12" s="1"/>
  <c r="O14" i="7" a="1"/>
  <c r="O14" i="7" s="1"/>
  <c r="B34" i="12" s="1"/>
  <c r="O15" i="7" a="1"/>
  <c r="O15" i="7" s="1"/>
  <c r="B35" i="12" s="1"/>
  <c r="O16" i="7" a="1"/>
  <c r="O16" i="7" s="1"/>
  <c r="B36" i="12" s="1"/>
  <c r="O17" i="7" a="1"/>
  <c r="O17" i="7" s="1"/>
  <c r="B37" i="12" s="1"/>
  <c r="O18" i="7" a="1"/>
  <c r="O18" i="7" s="1"/>
  <c r="B38" i="12" s="1"/>
  <c r="O19" i="7" a="1"/>
  <c r="O19" i="7" s="1"/>
  <c r="B39" i="12" s="1"/>
  <c r="O20" i="7" a="1"/>
  <c r="O20" i="7" s="1"/>
  <c r="B40" i="12" s="1"/>
  <c r="O21" i="7" a="1"/>
  <c r="O21" i="7" s="1"/>
  <c r="B41" i="12" s="1"/>
  <c r="O22" i="7" a="1"/>
  <c r="O22" i="7" s="1"/>
  <c r="B42" i="12" s="1"/>
  <c r="O23" i="7" a="1"/>
  <c r="O23" i="7" s="1"/>
  <c r="B43" i="12" s="1"/>
  <c r="O24" i="7" a="1"/>
  <c r="O24" i="7" s="1"/>
  <c r="B44" i="12" s="1"/>
  <c r="O25" i="7" a="1"/>
  <c r="O25" i="7" s="1"/>
  <c r="B45" i="12" s="1"/>
  <c r="O26" i="7" a="1"/>
  <c r="O26" i="7" s="1"/>
  <c r="B46" i="12" s="1"/>
  <c r="O27" i="7" a="1"/>
  <c r="O27" i="7" s="1"/>
  <c r="B47" i="12" s="1"/>
  <c r="O28" i="7" a="1"/>
  <c r="O28" i="7" s="1"/>
  <c r="B48" i="12" s="1"/>
  <c r="O29" i="7" a="1"/>
  <c r="O29" i="7" s="1"/>
  <c r="B49" i="12" s="1"/>
  <c r="O30" i="7" a="1"/>
  <c r="O30" i="7" s="1"/>
  <c r="B50" i="12" s="1"/>
  <c r="O31" i="7" a="1"/>
  <c r="O31" i="7" s="1"/>
  <c r="B51" i="12" s="1"/>
  <c r="O32" i="7" a="1"/>
  <c r="O32" i="7" s="1"/>
  <c r="B52" i="12" s="1"/>
  <c r="O33" i="7" a="1"/>
  <c r="O33" i="7" s="1"/>
  <c r="B53" i="12" s="1"/>
  <c r="O34" i="7" a="1"/>
  <c r="O34" i="7" s="1"/>
  <c r="B54" i="12" s="1"/>
  <c r="O35" i="7" a="1"/>
  <c r="O35" i="7" s="1"/>
  <c r="B55" i="12" s="1"/>
  <c r="O36" i="7" a="1"/>
  <c r="O36" i="7" s="1"/>
  <c r="B56" i="12" s="1"/>
  <c r="O37" i="7" a="1"/>
  <c r="O37" i="7" s="1"/>
  <c r="B57" i="12" s="1"/>
  <c r="O38" i="7" a="1"/>
  <c r="O38" i="7" s="1"/>
  <c r="B58" i="12" s="1"/>
  <c r="O39" i="7" a="1"/>
  <c r="O39" i="7" s="1"/>
  <c r="B59" i="12" s="1"/>
  <c r="O40" i="7" a="1"/>
  <c r="O40" i="7" s="1"/>
  <c r="B60" i="12" s="1"/>
  <c r="O41" i="7" a="1"/>
  <c r="O41" i="7" s="1"/>
  <c r="B61" i="12" s="1"/>
  <c r="O42" i="7" a="1"/>
  <c r="O42" i="7" s="1"/>
  <c r="B62" i="12" s="1"/>
  <c r="O43" i="7" a="1"/>
  <c r="O43" i="7" s="1"/>
  <c r="B63" i="12" s="1"/>
  <c r="O44" i="7" a="1"/>
  <c r="O44" i="7" s="1"/>
  <c r="B64" i="12" s="1"/>
  <c r="O45" i="7" a="1"/>
  <c r="O45" i="7" s="1"/>
  <c r="B65" i="12" s="1"/>
  <c r="O46" i="7" a="1"/>
  <c r="O46" i="7" s="1"/>
  <c r="B66" i="12" s="1"/>
  <c r="O47" i="7" a="1"/>
  <c r="O47" i="7" s="1"/>
  <c r="B67" i="12" s="1"/>
  <c r="O48" i="7" a="1"/>
  <c r="O48" i="7" s="1"/>
  <c r="B68" i="12" s="1"/>
  <c r="O49" i="7" a="1"/>
  <c r="O49" i="7" s="1"/>
  <c r="B69" i="12" s="1"/>
  <c r="O50" i="7" a="1"/>
  <c r="O50" i="7" s="1"/>
  <c r="B70" i="12" s="1"/>
  <c r="O51" i="7" a="1"/>
  <c r="O51" i="7" s="1"/>
  <c r="B71" i="12" s="1"/>
  <c r="O52" i="7" a="1"/>
  <c r="O52" i="7" s="1"/>
  <c r="B72" i="12" s="1"/>
  <c r="O53" i="7" a="1"/>
  <c r="O53" i="7" s="1"/>
  <c r="B73" i="12" s="1"/>
  <c r="O54" i="7" a="1"/>
  <c r="O54" i="7" s="1"/>
  <c r="B74" i="12" s="1"/>
  <c r="O55" i="7" a="1"/>
  <c r="O55" i="7" s="1"/>
  <c r="B75" i="12" s="1"/>
  <c r="O56" i="7" a="1"/>
  <c r="O56" i="7" s="1"/>
  <c r="B76" i="12" s="1"/>
  <c r="O57" i="7" a="1"/>
  <c r="O57" i="7" s="1"/>
  <c r="B77" i="12" s="1"/>
  <c r="O58" i="7" a="1"/>
  <c r="O58" i="7" s="1"/>
  <c r="B78" i="12" s="1"/>
  <c r="O59" i="7" a="1"/>
  <c r="O59" i="7" s="1"/>
  <c r="B79" i="12" s="1"/>
  <c r="O60" i="7" a="1"/>
  <c r="O60" i="7" s="1"/>
  <c r="B80" i="12" s="1"/>
  <c r="O61" i="7" a="1"/>
  <c r="O61" i="7" s="1"/>
  <c r="B81" i="12" s="1"/>
  <c r="O62" i="7" a="1"/>
  <c r="O62" i="7" s="1"/>
  <c r="B82" i="12" s="1"/>
  <c r="O63" i="7" a="1"/>
  <c r="O63" i="7" s="1"/>
  <c r="B83" i="12" s="1"/>
  <c r="O64" i="7" a="1"/>
  <c r="O64" i="7" s="1"/>
  <c r="B84" i="12" s="1"/>
  <c r="O65" i="7" a="1"/>
  <c r="O65" i="7" s="1"/>
  <c r="B85" i="12" s="1"/>
  <c r="O66" i="7" a="1"/>
  <c r="O66" i="7" s="1"/>
  <c r="B86" i="12" s="1"/>
  <c r="O67" i="7" a="1"/>
  <c r="O67" i="7" s="1"/>
  <c r="B87" i="12" s="1"/>
  <c r="O68" i="7" a="1"/>
  <c r="O68" i="7" s="1"/>
  <c r="B88" i="12" s="1"/>
  <c r="O69" i="7" a="1"/>
  <c r="O69" i="7" s="1"/>
  <c r="B89" i="12" s="1"/>
  <c r="O70" i="7" a="1"/>
  <c r="O70" i="7" s="1"/>
  <c r="B90" i="12" s="1"/>
  <c r="O71" i="7" a="1"/>
  <c r="O71" i="7" s="1"/>
  <c r="B91" i="12" s="1"/>
  <c r="O72" i="7" a="1"/>
  <c r="O72" i="7" s="1"/>
  <c r="B92" i="12" s="1"/>
  <c r="O73" i="7" a="1"/>
  <c r="O73" i="7" s="1"/>
  <c r="B93" i="12" s="1"/>
  <c r="O74" i="7" a="1"/>
  <c r="O74" i="7" s="1"/>
  <c r="B94" i="12" s="1"/>
  <c r="O75" i="7" a="1"/>
  <c r="O75" i="7" s="1"/>
  <c r="B95" i="12" s="1"/>
  <c r="O76" i="7" a="1"/>
  <c r="O76" i="7" s="1"/>
  <c r="B96" i="12" s="1"/>
  <c r="O77" i="7" a="1"/>
  <c r="O77" i="7" s="1"/>
  <c r="B97" i="12" s="1"/>
  <c r="O78" i="7" a="1"/>
  <c r="O78" i="7" s="1"/>
  <c r="B98" i="12" s="1"/>
  <c r="O79" i="7" a="1"/>
  <c r="O79" i="7" s="1"/>
  <c r="B99" i="12" s="1"/>
  <c r="O80" i="7" a="1"/>
  <c r="O80" i="7" s="1"/>
  <c r="B100" i="12" s="1"/>
  <c r="O81" i="7" a="1"/>
  <c r="O81" i="7" s="1"/>
  <c r="O2" i="7" a="1"/>
  <c r="O2" i="7" s="1"/>
  <c r="G23" i="7" a="1"/>
  <c r="G23" i="7" s="1"/>
  <c r="G22" i="7" a="1"/>
  <c r="G22" i="7" s="1"/>
  <c r="C15" i="16" s="1"/>
  <c r="J11" i="12"/>
  <c r="G21" i="7" a="1"/>
  <c r="G21" i="7" s="1"/>
  <c r="G20" i="7"/>
  <c r="G19" i="7" a="1"/>
  <c r="G19" i="7" s="1"/>
  <c r="G18" i="7" a="1"/>
  <c r="G18" i="7" s="1"/>
  <c r="D3" i="16" s="1"/>
  <c r="G17" i="7" a="1"/>
  <c r="G17" i="7" s="1"/>
  <c r="G16" i="7" a="1"/>
  <c r="G16" i="7" s="1"/>
  <c r="G14" i="7"/>
  <c r="J13" i="16" s="1"/>
  <c r="G12" i="7" a="1"/>
  <c r="G12" i="7" s="1"/>
  <c r="C13" i="16" s="1"/>
  <c r="G10" i="7"/>
  <c r="N4" i="9" s="1"/>
  <c r="N44" i="9" s="1"/>
  <c r="N77" i="9" s="1"/>
  <c r="G8" i="7" a="1"/>
  <c r="G8" i="7" s="1"/>
  <c r="F1" i="16" s="1"/>
  <c r="G6" i="7" a="1"/>
  <c r="G6" i="7" s="1"/>
  <c r="C9" i="16" s="1"/>
  <c r="G4" i="7" a="1"/>
  <c r="G4" i="7" s="1"/>
  <c r="B11" i="16" s="1"/>
  <c r="L35" i="9"/>
  <c r="G29" i="2" a="1"/>
  <c r="G29" i="2" s="1"/>
  <c r="G35" i="2" s="1"/>
  <c r="G27" i="2" a="1"/>
  <c r="G27" i="2" s="1"/>
  <c r="C111" i="6"/>
  <c r="H95" i="12" l="1"/>
  <c r="H95" i="16"/>
  <c r="H83" i="12"/>
  <c r="H83" i="16"/>
  <c r="H71" i="12"/>
  <c r="H71" i="16"/>
  <c r="H59" i="12"/>
  <c r="G59" i="16"/>
  <c r="H47" i="12"/>
  <c r="G47" i="16"/>
  <c r="H35" i="12"/>
  <c r="G35" i="16"/>
  <c r="H94" i="12"/>
  <c r="H94" i="16"/>
  <c r="H82" i="12"/>
  <c r="H82" i="16"/>
  <c r="H70" i="12"/>
  <c r="H70" i="16"/>
  <c r="H58" i="12"/>
  <c r="G58" i="16"/>
  <c r="H46" i="12"/>
  <c r="G46" i="16"/>
  <c r="H34" i="12"/>
  <c r="G34" i="16"/>
  <c r="H93" i="12"/>
  <c r="H93" i="16"/>
  <c r="H81" i="12"/>
  <c r="H81" i="16"/>
  <c r="H69" i="12"/>
  <c r="H69" i="16"/>
  <c r="H57" i="12"/>
  <c r="G57" i="16"/>
  <c r="H45" i="12"/>
  <c r="G45" i="16"/>
  <c r="H33" i="12"/>
  <c r="G33" i="16"/>
  <c r="E42" i="13"/>
  <c r="C17" i="16"/>
  <c r="H92" i="12"/>
  <c r="H92" i="16"/>
  <c r="H80" i="12"/>
  <c r="H80" i="16"/>
  <c r="H68" i="12"/>
  <c r="H68" i="16"/>
  <c r="H56" i="12"/>
  <c r="G56" i="16"/>
  <c r="H44" i="12"/>
  <c r="G44" i="16"/>
  <c r="H32" i="12"/>
  <c r="G32" i="16"/>
  <c r="H91" i="12"/>
  <c r="H91" i="16"/>
  <c r="H67" i="12"/>
  <c r="H67" i="16"/>
  <c r="H43" i="12"/>
  <c r="G43" i="16"/>
  <c r="H31" i="12"/>
  <c r="G31" i="16"/>
  <c r="D5" i="15"/>
  <c r="D5" i="16"/>
  <c r="H90" i="12"/>
  <c r="H90" i="16"/>
  <c r="H78" i="12"/>
  <c r="H78" i="16"/>
  <c r="H66" i="12"/>
  <c r="H66" i="16"/>
  <c r="H54" i="12"/>
  <c r="G54" i="16"/>
  <c r="H42" i="12"/>
  <c r="G42" i="16"/>
  <c r="H30" i="12"/>
  <c r="G30" i="16"/>
  <c r="H77" i="12"/>
  <c r="H77" i="16"/>
  <c r="H53" i="12"/>
  <c r="G53" i="16"/>
  <c r="H29" i="12"/>
  <c r="G29" i="16"/>
  <c r="H88" i="12"/>
  <c r="H88" i="16"/>
  <c r="H52" i="12"/>
  <c r="G52" i="16"/>
  <c r="H99" i="12"/>
  <c r="H99" i="16"/>
  <c r="H87" i="12"/>
  <c r="H87" i="16"/>
  <c r="H75" i="12"/>
  <c r="H75" i="16"/>
  <c r="H63" i="12"/>
  <c r="H63" i="16"/>
  <c r="H51" i="12"/>
  <c r="G51" i="16"/>
  <c r="H39" i="12"/>
  <c r="G39" i="16"/>
  <c r="C7" i="15"/>
  <c r="C7" i="16"/>
  <c r="H89" i="12"/>
  <c r="H89" i="16"/>
  <c r="H65" i="12"/>
  <c r="H65" i="16"/>
  <c r="H41" i="12"/>
  <c r="G41" i="16"/>
  <c r="H100" i="12"/>
  <c r="H100" i="16"/>
  <c r="H76" i="12"/>
  <c r="H76" i="16"/>
  <c r="H64" i="12"/>
  <c r="H64" i="16"/>
  <c r="H40" i="12"/>
  <c r="G40" i="16"/>
  <c r="H28" i="12"/>
  <c r="G28" i="16"/>
  <c r="H98" i="12"/>
  <c r="H98" i="16"/>
  <c r="H86" i="12"/>
  <c r="H86" i="16"/>
  <c r="H74" i="12"/>
  <c r="H74" i="16"/>
  <c r="H62" i="12"/>
  <c r="H62" i="16"/>
  <c r="H50" i="12"/>
  <c r="G50" i="16"/>
  <c r="H38" i="12"/>
  <c r="G38" i="16"/>
  <c r="H79" i="12"/>
  <c r="H79" i="16"/>
  <c r="H55" i="12"/>
  <c r="G55" i="16"/>
  <c r="I15" i="15"/>
  <c r="I15" i="16"/>
  <c r="H97" i="12"/>
  <c r="H97" i="16"/>
  <c r="H85" i="12"/>
  <c r="H85" i="16"/>
  <c r="H73" i="12"/>
  <c r="H73" i="16"/>
  <c r="H61" i="12"/>
  <c r="H61" i="16"/>
  <c r="H49" i="12"/>
  <c r="G49" i="16"/>
  <c r="H37" i="12"/>
  <c r="G37" i="16"/>
  <c r="H96" i="12"/>
  <c r="H96" i="16"/>
  <c r="H84" i="12"/>
  <c r="H84" i="16"/>
  <c r="H72" i="12"/>
  <c r="H72" i="16"/>
  <c r="H60" i="12"/>
  <c r="G60" i="16"/>
  <c r="H48" i="12"/>
  <c r="G48" i="16"/>
  <c r="H36" i="12"/>
  <c r="G36" i="16"/>
  <c r="B27" i="12"/>
  <c r="F25" i="12"/>
  <c r="H25" i="12"/>
  <c r="G25" i="16"/>
  <c r="F27" i="12"/>
  <c r="B26" i="12"/>
  <c r="F24" i="12"/>
  <c r="H24" i="12"/>
  <c r="G24" i="16"/>
  <c r="F26" i="12"/>
  <c r="H26" i="12"/>
  <c r="G26" i="16"/>
  <c r="B25" i="12"/>
  <c r="B24" i="12"/>
  <c r="H27" i="12"/>
  <c r="G27" i="16"/>
  <c r="B22" i="12"/>
  <c r="H23" i="12"/>
  <c r="G23" i="16"/>
  <c r="F23" i="12"/>
  <c r="B23" i="12"/>
  <c r="L4" i="9"/>
  <c r="L44" i="9" s="1"/>
  <c r="N91" i="9" s="1"/>
  <c r="D2" i="13"/>
  <c r="A21" i="13"/>
  <c r="C15" i="15"/>
  <c r="A17" i="13"/>
  <c r="J13" i="15"/>
  <c r="C13" i="15"/>
  <c r="A15" i="13"/>
  <c r="B11" i="15"/>
  <c r="A7" i="13"/>
  <c r="A11" i="13"/>
  <c r="C9" i="15"/>
  <c r="L8" i="9"/>
  <c r="A5" i="13"/>
  <c r="D3" i="15"/>
  <c r="A3" i="13"/>
  <c r="C7" i="12"/>
  <c r="C7" i="14"/>
  <c r="P6" i="9"/>
  <c r="C13" i="14"/>
  <c r="N6" i="9"/>
  <c r="J13" i="14"/>
  <c r="C15" i="12"/>
  <c r="C15" i="14"/>
  <c r="I15" i="12"/>
  <c r="I15" i="14"/>
  <c r="O35" i="9"/>
  <c r="G5" i="11"/>
  <c r="B11" i="14"/>
  <c r="D3" i="12"/>
  <c r="D3" i="14"/>
  <c r="P4" i="9"/>
  <c r="P44" i="9" s="1"/>
  <c r="P77" i="9" s="1"/>
  <c r="C9" i="14"/>
  <c r="D5" i="12"/>
  <c r="D5" i="14"/>
  <c r="H22" i="12"/>
  <c r="F22" i="12"/>
  <c r="C17" i="12"/>
  <c r="J13" i="12"/>
  <c r="C13" i="12"/>
  <c r="B11" i="12"/>
  <c r="C9" i="12"/>
  <c r="D7" i="11"/>
  <c r="D5" i="11"/>
  <c r="S4" i="9"/>
  <c r="S44" i="9" s="1"/>
  <c r="S77" i="9" s="1"/>
  <c r="G7" i="11"/>
  <c r="A5" i="11"/>
  <c r="G31" i="2"/>
  <c r="G45" i="2"/>
  <c r="G40" i="2"/>
  <c r="G34" i="2"/>
  <c r="G33" i="2"/>
  <c r="G32" i="2"/>
  <c r="G44" i="2"/>
  <c r="G42" i="2"/>
  <c r="G43" i="2"/>
  <c r="G41" i="2"/>
  <c r="G37" i="2"/>
  <c r="G36" i="2"/>
  <c r="G39" i="2"/>
  <c r="G38" i="2"/>
  <c r="L77" i="9" l="1"/>
  <c r="I31" i="2"/>
  <c r="J25" i="6" s="1"/>
  <c r="J23" i="6" l="1"/>
  <c r="J32" i="6"/>
  <c r="J28" i="6"/>
  <c r="J47" i="6"/>
  <c r="J74" i="6"/>
  <c r="J72" i="6"/>
  <c r="J60" i="6"/>
  <c r="J90" i="6"/>
  <c r="J85" i="6"/>
  <c r="J36" i="6"/>
  <c r="J89" i="6"/>
  <c r="J62" i="6"/>
  <c r="J51" i="6"/>
  <c r="J29" i="6"/>
  <c r="J70" i="6"/>
  <c r="J65" i="6"/>
  <c r="J61" i="6"/>
  <c r="J59" i="6"/>
  <c r="J58" i="6"/>
  <c r="J49" i="6"/>
  <c r="J55" i="6"/>
  <c r="J84" i="6"/>
  <c r="J26" i="6"/>
  <c r="J57" i="6"/>
  <c r="J44" i="6"/>
  <c r="J69" i="6"/>
  <c r="J96" i="6"/>
  <c r="J43" i="6"/>
  <c r="J48" i="6"/>
  <c r="J97" i="6"/>
  <c r="J68" i="6"/>
  <c r="J78" i="6"/>
  <c r="J35" i="6"/>
  <c r="J82" i="6"/>
  <c r="J42" i="6"/>
  <c r="J24" i="6"/>
  <c r="J71" i="6"/>
  <c r="J64" i="6"/>
  <c r="J54" i="6"/>
  <c r="J41" i="6"/>
  <c r="J92" i="6"/>
  <c r="J101" i="6"/>
  <c r="J40" i="6"/>
  <c r="J31" i="6"/>
  <c r="J91" i="6"/>
  <c r="J87" i="6"/>
  <c r="J77" i="6"/>
  <c r="J39" i="6"/>
  <c r="J30" i="6"/>
  <c r="J67" i="6"/>
  <c r="J63" i="6"/>
  <c r="J53" i="6"/>
  <c r="J50" i="6"/>
  <c r="J38" i="6"/>
  <c r="J66" i="6"/>
  <c r="J100" i="6"/>
  <c r="J27" i="6"/>
  <c r="J76" i="6"/>
  <c r="J46" i="6"/>
  <c r="J33" i="6"/>
  <c r="J80" i="6"/>
  <c r="J95" i="6"/>
  <c r="J52" i="6"/>
  <c r="J79" i="6"/>
  <c r="J34" i="6"/>
  <c r="J81" i="6"/>
  <c r="J98" i="6"/>
  <c r="J45" i="6"/>
  <c r="J83" i="6"/>
  <c r="J73" i="6"/>
  <c r="J93" i="6"/>
  <c r="J99" i="6"/>
  <c r="J88" i="6"/>
  <c r="J37" i="6"/>
  <c r="J56" i="6"/>
  <c r="J94" i="6"/>
  <c r="J86" i="6"/>
  <c r="J75"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<sst xmlns="http://schemas.openxmlformats.org/spreadsheetml/2006/main" count="592" uniqueCount="423">
  <si>
    <t>שם הלקוח:</t>
  </si>
  <si>
    <t>מספר הזמנת לקוח:</t>
  </si>
  <si>
    <t>מספר תיק ייצור:</t>
  </si>
  <si>
    <t>שם פריט:</t>
  </si>
  <si>
    <t>מק"ט:</t>
  </si>
  <si>
    <t>מספר  שרטוט:</t>
  </si>
  <si>
    <t>גרסת פריט:</t>
  </si>
  <si>
    <t>מהדורת שרטוט:</t>
  </si>
  <si>
    <t>lot size</t>
  </si>
  <si>
    <t>-</t>
  </si>
  <si>
    <t>SQUEGILIA Z=0, INDEX VALUE 0.01%</t>
  </si>
  <si>
    <t>SQUEGILIA Z=0, INDEX VALUE 0.015%</t>
  </si>
  <si>
    <t>SQUEGILIA Z=0, INDEX VALUE 0.025%</t>
  </si>
  <si>
    <t>SQUEGILIA Z=0, INDEX VALUE 0.04%</t>
  </si>
  <si>
    <t>SQUEGILIA Z=0, INDEX VALUE 0.065%</t>
  </si>
  <si>
    <t>SQUEGILIA Z=0, INDEX VALUE 0.1%</t>
  </si>
  <si>
    <t>SQUEGILIA Z=0, INDEX VALUE 0.15%</t>
  </si>
  <si>
    <t>SQUEGILIA Z=0, INDEX VALUE 0.25%</t>
  </si>
  <si>
    <t>SQUEGILIA Z=0, INDEX VALUE 0.40%</t>
  </si>
  <si>
    <t>SQUEGILIA Z=0, INDEX VALUE 0.65%</t>
  </si>
  <si>
    <t>SQUEGILIA Z=0, INDEX VALUE 1%</t>
  </si>
  <si>
    <t>SQUEGILIA Z=0, INDEX VALUE 1.5%</t>
  </si>
  <si>
    <t>SQUEGILIA Z=0, INDEX VALUE 2.5%</t>
  </si>
  <si>
    <t>SQUEGILIA Z=0, INDEX VALUE 4%</t>
  </si>
  <si>
    <t>SQUEGILIA Z=0, INDEX VALUE 6.5%</t>
  </si>
  <si>
    <t>כמות למשלוח:</t>
  </si>
  <si>
    <t>כמות בייצור:</t>
  </si>
  <si>
    <t>בלון מספר</t>
  </si>
  <si>
    <t xml:space="preserve">אפיון נדרש </t>
  </si>
  <si>
    <t xml:space="preserve">מידה </t>
  </si>
  <si>
    <t xml:space="preserve">סיבולת + </t>
  </si>
  <si>
    <t>אמצעי בדיקה</t>
  </si>
  <si>
    <t>כמות נבדקת</t>
  </si>
  <si>
    <t>פריט מספר</t>
  </si>
  <si>
    <t xml:space="preserve">סיבולת - </t>
  </si>
  <si>
    <t>פין</t>
  </si>
  <si>
    <t>מד גובה</t>
  </si>
  <si>
    <t>פין + קליבר</t>
  </si>
  <si>
    <t>מדיד</t>
  </si>
  <si>
    <t>מדיד+ קליבר</t>
  </si>
  <si>
    <t>ויזואלי</t>
  </si>
  <si>
    <t>קליבר</t>
  </si>
  <si>
    <t>מיקרומטר</t>
  </si>
  <si>
    <t>XYZ</t>
  </si>
  <si>
    <t>טריאובור</t>
  </si>
  <si>
    <t>מצלמה</t>
  </si>
  <si>
    <t>קומפרטור</t>
  </si>
  <si>
    <t>סורק 3D</t>
  </si>
  <si>
    <t>מד טיב פני שטח</t>
  </si>
  <si>
    <t>מד עובי ציפוי/צבע</t>
  </si>
  <si>
    <t>מיקרומטר הברגות</t>
  </si>
  <si>
    <t>צ'פלין</t>
  </si>
  <si>
    <t>PIN</t>
  </si>
  <si>
    <t>PIN+CALIPER</t>
  </si>
  <si>
    <t>TAP GAUGE</t>
  </si>
  <si>
    <t>GAUGE+CALIPER</t>
  </si>
  <si>
    <t>VISUAL</t>
  </si>
  <si>
    <t>CALIPER</t>
  </si>
  <si>
    <t>MICRO-HITE</t>
  </si>
  <si>
    <t>MICROMETER</t>
  </si>
  <si>
    <t>שעון</t>
  </si>
  <si>
    <t>INDICATOR</t>
  </si>
  <si>
    <t>בלוק יוהנסון</t>
  </si>
  <si>
    <t>GAUGE BLOCKS</t>
  </si>
  <si>
    <t>CHAPELIN</t>
  </si>
  <si>
    <t>TAP MICROMETER</t>
  </si>
  <si>
    <t>SCANNER</t>
  </si>
  <si>
    <t>COMPERATOR</t>
  </si>
  <si>
    <t>CAMERA</t>
  </si>
  <si>
    <t>THREE-BORE</t>
  </si>
  <si>
    <t>DIA</t>
  </si>
  <si>
    <t>LINEAR</t>
  </si>
  <si>
    <t>TAP</t>
  </si>
  <si>
    <t>CHAMFER</t>
  </si>
  <si>
    <t>RUN OUT</t>
  </si>
  <si>
    <t>PROFILE</t>
  </si>
  <si>
    <t>PARALLELISM</t>
  </si>
  <si>
    <t>PERPENDICULAR</t>
  </si>
  <si>
    <t>POLAR</t>
  </si>
  <si>
    <t>RADIAL</t>
  </si>
  <si>
    <t>STRAIGHTNESS</t>
  </si>
  <si>
    <t>SURFACE FINISH</t>
  </si>
  <si>
    <t>SURFACE PROFILE</t>
  </si>
  <si>
    <t>ANGULAR</t>
  </si>
  <si>
    <t>ANGULARITY</t>
  </si>
  <si>
    <t>CIRCULARITY</t>
  </si>
  <si>
    <t>CIONCENTRIC</t>
  </si>
  <si>
    <t>CYLINDRICITY</t>
  </si>
  <si>
    <t>FLATNESS</t>
  </si>
  <si>
    <t>SYMMETRY</t>
  </si>
  <si>
    <t>TRUE POSITION</t>
  </si>
  <si>
    <t>סיכום שמיש:</t>
  </si>
  <si>
    <t>פסול:</t>
  </si>
  <si>
    <t>לתיקון:</t>
  </si>
  <si>
    <t>שם המבקר:</t>
  </si>
  <si>
    <t>חתימה:</t>
  </si>
  <si>
    <t>תאריך:</t>
  </si>
  <si>
    <t xml:space="preserve"> דגימה:</t>
  </si>
  <si>
    <t>מורן אבידן</t>
  </si>
  <si>
    <t>חלק נגדי</t>
  </si>
  <si>
    <t>ג'יג</t>
  </si>
  <si>
    <t>אילנה לבדב</t>
  </si>
  <si>
    <t>סבטלנה פיסמנקו</t>
  </si>
  <si>
    <t>לודה ז'דן</t>
  </si>
  <si>
    <t>דגימה</t>
  </si>
  <si>
    <t>לא לגעת- חישובי עזר אוטומטיים</t>
  </si>
  <si>
    <t xml:space="preserve">Sheet 1 of 1 </t>
  </si>
  <si>
    <t>1. Part Number:</t>
  </si>
  <si>
    <t>2. Part Name:</t>
  </si>
  <si>
    <t>3. Serial Number:</t>
  </si>
  <si>
    <t xml:space="preserve">4. FAIR Identifier: </t>
  </si>
  <si>
    <t>STA-T6514A</t>
  </si>
  <si>
    <t>PIN 2</t>
  </si>
  <si>
    <t>4901-16976</t>
  </si>
  <si>
    <r>
      <t>2407</t>
    </r>
    <r>
      <rPr>
        <sz val="10"/>
        <color theme="1"/>
        <rFont val="Calibri Light"/>
        <family val="2"/>
      </rPr>
      <t>-</t>
    </r>
    <r>
      <rPr>
        <b/>
        <sz val="10"/>
        <color theme="1"/>
        <rFont val="Calibri Light"/>
        <family val="2"/>
      </rPr>
      <t>35492</t>
    </r>
  </si>
  <si>
    <t>5. Part Revision Level:</t>
  </si>
  <si>
    <t>6. Drawing Number</t>
  </si>
  <si>
    <t>7. Drawing revision level:</t>
  </si>
  <si>
    <t>8. Additional Changes:</t>
  </si>
  <si>
    <r>
      <t>00</t>
    </r>
    <r>
      <rPr>
        <sz val="8"/>
        <color theme="1"/>
        <rFont val="Times New Roman"/>
        <family val="1"/>
      </rPr>
      <t> </t>
    </r>
    <r>
      <rPr>
        <sz val="8"/>
        <color theme="1"/>
        <rFont val="Arial"/>
        <family val="2"/>
      </rPr>
      <t xml:space="preserve"> </t>
    </r>
  </si>
  <si>
    <t>C</t>
  </si>
  <si>
    <t>9. Manufacturing Process Reference:</t>
  </si>
  <si>
    <t>10. Organization Name:</t>
  </si>
  <si>
    <t>11. Supplier Code:</t>
  </si>
  <si>
    <t>12. Purchase Order Number:</t>
  </si>
  <si>
    <t>י.ח.אבידן</t>
  </si>
  <si>
    <t>PO23002009</t>
  </si>
  <si>
    <t xml:space="preserve">13.  Detail </t>
  </si>
  <si>
    <t>14. Full FAI:</t>
  </si>
  <si>
    <t xml:space="preserve">            Partial FAI  </t>
  </si>
  <si>
    <t xml:space="preserve">          Baseline Part Number (including revision level):  </t>
  </si>
  <si>
    <t xml:space="preserve">          Reason for Partial FAI:  </t>
  </si>
  <si>
    <t xml:space="preserve">      Assembly </t>
  </si>
  <si>
    <r>
      <t>a)</t>
    </r>
    <r>
      <rPr>
        <sz val="7"/>
        <color theme="1"/>
        <rFont val="Times New Roman"/>
        <family val="1"/>
      </rPr>
      <t xml:space="preserve">     </t>
    </r>
    <r>
      <rPr>
        <sz val="8"/>
        <color theme="1"/>
        <rFont val="Arial"/>
        <family val="2"/>
      </rPr>
      <t xml:space="preserve">if above part number is a detail part only, go to Field 19 </t>
    </r>
  </si>
  <si>
    <r>
      <t>b)</t>
    </r>
    <r>
      <rPr>
        <sz val="7"/>
        <color theme="1"/>
        <rFont val="Times New Roman"/>
        <family val="1"/>
      </rPr>
      <t xml:space="preserve">     </t>
    </r>
    <r>
      <rPr>
        <sz val="8"/>
        <color theme="1"/>
        <rFont val="Arial"/>
        <family val="2"/>
      </rPr>
      <t>if above part number is an assembly, go to the “INDEX” section below.</t>
    </r>
  </si>
  <si>
    <t>INDEX of part numbers or sub-assembly numbers required to make the assembly noted above.</t>
  </si>
  <si>
    <t>15. Part Number</t>
  </si>
  <si>
    <t>16. Part Name</t>
  </si>
  <si>
    <t>17. Part Serial Number</t>
  </si>
  <si>
    <t xml:space="preserve">18. FAIR Identifier: </t>
  </si>
  <si>
    <r>
      <t>NA</t>
    </r>
    <r>
      <rPr>
        <sz val="8"/>
        <color theme="1"/>
        <rFont val="Times New Roman"/>
        <family val="1"/>
      </rPr>
      <t> </t>
    </r>
  </si>
  <si>
    <t>NA</t>
  </si>
  <si>
    <t xml:space="preserve">19. Does FAIR Contain a Documented Nonconformance(s)?          Yes    No  </t>
  </si>
  <si>
    <t>20. FAIR Verified By:</t>
  </si>
  <si>
    <t>21. Date:</t>
  </si>
  <si>
    <r>
      <t xml:space="preserve">22. FAIR Reviewed/Approved By: </t>
    </r>
    <r>
      <rPr>
        <b/>
        <sz val="10"/>
        <color theme="1"/>
        <rFont val="Arial"/>
        <family val="2"/>
      </rPr>
      <t>LEBEDEVA ILANA</t>
    </r>
  </si>
  <si>
    <r>
      <t xml:space="preserve">23. Date: </t>
    </r>
    <r>
      <rPr>
        <b/>
        <sz val="10"/>
        <color theme="1"/>
        <rFont val="Arial"/>
        <family val="2"/>
      </rPr>
      <t>09/10/2023</t>
    </r>
  </si>
  <si>
    <t xml:space="preserve">24. Customer  Approval:  </t>
  </si>
  <si>
    <t>25. Date:</t>
  </si>
  <si>
    <t xml:space="preserve">26. Comments: </t>
  </si>
  <si>
    <r>
      <t> </t>
    </r>
    <r>
      <rPr>
        <sz val="10"/>
        <color theme="1"/>
        <rFont val="Times New Roman"/>
        <family val="1"/>
      </rPr>
      <t>מהאידיאר עמודה PR</t>
    </r>
  </si>
  <si>
    <r>
      <t> </t>
    </r>
    <r>
      <rPr>
        <sz val="10"/>
        <color theme="1"/>
        <rFont val="Times New Roman"/>
        <family val="1"/>
      </rPr>
      <t>אם הרכבה צריך למלא פה בנים</t>
    </r>
  </si>
  <si>
    <t xml:space="preserve">23. Date: </t>
  </si>
  <si>
    <t xml:space="preserve">FORM 2- PRODUCT ACCOUNTABILITY – MATERIALS, SPECIAL PROCESSES AND FUNCTIONAL TESTING </t>
  </si>
  <si>
    <t>YES</t>
  </si>
  <si>
    <t>6. Specification number</t>
  </si>
  <si>
    <t xml:space="preserve">MATERIAL </t>
  </si>
  <si>
    <t>coating:</t>
  </si>
  <si>
    <t>ספקי חומרי גלם</t>
  </si>
  <si>
    <t>ספקי תהליכים</t>
  </si>
  <si>
    <t>SCOPE</t>
  </si>
  <si>
    <t>METALKOR</t>
  </si>
  <si>
    <t>BTI</t>
  </si>
  <si>
    <t>FINKELSTEIN</t>
  </si>
  <si>
    <t>MANOMETAL</t>
  </si>
  <si>
    <t>DORON</t>
  </si>
  <si>
    <t>GREEN COAT</t>
  </si>
  <si>
    <t>NADIV</t>
  </si>
  <si>
    <t>ALBERG</t>
  </si>
  <si>
    <t>INTERPLATE</t>
  </si>
  <si>
    <t>LIMAT</t>
  </si>
  <si>
    <t>GIMAT</t>
  </si>
  <si>
    <t>CHROMAT</t>
  </si>
  <si>
    <t>13. Comments:</t>
  </si>
  <si>
    <t>FORM 3- CHARACTERISTIC ACCOUNTABILITY, VERIFICATION, AND COMPETIBILITY EVALUATION</t>
  </si>
  <si>
    <t>Sheet 1 of 1</t>
  </si>
  <si>
    <t>Characteristic Accountability</t>
  </si>
  <si>
    <t>Inspection / Test Results</t>
  </si>
  <si>
    <t xml:space="preserve">6. Reference Location </t>
  </si>
  <si>
    <t>7. Characteristic Designator</t>
  </si>
  <si>
    <t>8. Requirement</t>
  </si>
  <si>
    <t>9. Results</t>
  </si>
  <si>
    <t>10. Designed /Qualified Tooling</t>
  </si>
  <si>
    <t>11. Nonconformance Number</t>
  </si>
  <si>
    <t xml:space="preserve">SEE </t>
  </si>
  <si>
    <t>5. Char no.</t>
  </si>
  <si>
    <t>לא לגעת- חישובי עזר</t>
  </si>
  <si>
    <t>11. Functional Test Procedure Number:</t>
  </si>
  <si>
    <t>12. Acceptance report number</t>
  </si>
  <si>
    <r>
      <t>מק"ט פריט אב:</t>
    </r>
    <r>
      <rPr>
        <b/>
        <sz val="10"/>
        <color theme="1"/>
        <rFont val="Arial"/>
        <family val="2"/>
      </rPr>
      <t xml:space="preserve"> </t>
    </r>
  </si>
  <si>
    <t>RC for FAI</t>
  </si>
  <si>
    <t>לפריט עיבוד שבבי/מכני</t>
  </si>
  <si>
    <t>Page 1 out of 2</t>
  </si>
  <si>
    <t>אישור</t>
  </si>
  <si>
    <t>גודל מדגם</t>
  </si>
  <si>
    <t>ביקורת בפועל</t>
  </si>
  <si>
    <t>מסמכים</t>
  </si>
  <si>
    <t>נושא נבדק</t>
  </si>
  <si>
    <t>No.</t>
  </si>
  <si>
    <t>V</t>
  </si>
  <si>
    <t>מנתי</t>
  </si>
  <si>
    <r>
      <t xml:space="preserve">בדיקת התאמת המסמכים ל- </t>
    </r>
    <r>
      <rPr>
        <sz val="9"/>
        <color theme="1"/>
        <rFont val="Arial"/>
        <family val="2"/>
      </rPr>
      <t>EDR</t>
    </r>
    <r>
      <rPr>
        <sz val="10"/>
        <color theme="1"/>
        <rFont val="Arial"/>
        <family val="2"/>
      </rPr>
      <t xml:space="preserve"> </t>
    </r>
  </si>
  <si>
    <r>
      <t xml:space="preserve">תאריך הפקת </t>
    </r>
    <r>
      <rPr>
        <sz val="9"/>
        <color theme="1"/>
        <rFont val="Arial"/>
        <family val="2"/>
      </rPr>
      <t>EDR</t>
    </r>
    <r>
      <rPr>
        <sz val="10"/>
        <color theme="1"/>
        <rFont val="Arial"/>
        <family val="2"/>
      </rPr>
      <t xml:space="preserve"> לא יהיה מוקדם מתאריך ההזמנה/הוראת המשיכה, אלא אם בדו"ח השינויים בהזמנה מצוין רק שינוי מועד אספקה.</t>
    </r>
  </si>
  <si>
    <t>בדיקת תצורה</t>
  </si>
  <si>
    <r>
      <t xml:space="preserve">    </t>
    </r>
    <r>
      <rPr>
        <sz val="9"/>
        <color theme="1"/>
        <rFont val="Arial"/>
        <family val="2"/>
      </rPr>
      <t>1.</t>
    </r>
    <r>
      <rPr>
        <sz val="7"/>
        <color theme="1"/>
        <rFont val="Times New Roman"/>
        <family val="1"/>
      </rPr>
      <t xml:space="preserve">  </t>
    </r>
    <r>
      <rPr>
        <sz val="9"/>
        <color theme="1"/>
        <rFont val="Arial"/>
        <family val="2"/>
      </rPr>
      <t> </t>
    </r>
  </si>
  <si>
    <r>
      <t xml:space="preserve">בדיקה לעקיבות </t>
    </r>
    <r>
      <rPr>
        <sz val="9"/>
        <color theme="1"/>
        <rFont val="Arial"/>
        <family val="2"/>
      </rPr>
      <t>COT</t>
    </r>
    <r>
      <rPr>
        <sz val="10"/>
        <color theme="1"/>
        <rFont val="Arial"/>
        <family val="2"/>
      </rPr>
      <t>/</t>
    </r>
    <r>
      <rPr>
        <sz val="9"/>
        <color theme="1"/>
        <rFont val="Arial"/>
        <family val="2"/>
      </rPr>
      <t>COC</t>
    </r>
    <r>
      <rPr>
        <sz val="10"/>
        <color theme="1"/>
        <rFont val="Arial"/>
        <family val="2"/>
      </rPr>
      <t xml:space="preserve"> לפריט.</t>
    </r>
  </si>
  <si>
    <r>
      <t xml:space="preserve">רכש ממקור מאושר - </t>
    </r>
    <r>
      <rPr>
        <sz val="9"/>
        <color theme="1"/>
        <rFont val="Arial"/>
        <family val="2"/>
      </rPr>
      <t>QVL</t>
    </r>
  </si>
  <si>
    <r>
      <t>COT</t>
    </r>
    <r>
      <rPr>
        <sz val="10"/>
        <color theme="1"/>
        <rFont val="Arial"/>
        <family val="2"/>
      </rPr>
      <t xml:space="preserve">/ </t>
    </r>
    <r>
      <rPr>
        <sz val="9"/>
        <color theme="1"/>
        <rFont val="Arial"/>
        <family val="2"/>
      </rPr>
      <t>COC</t>
    </r>
  </si>
  <si>
    <r>
      <t xml:space="preserve">שרטוט, </t>
    </r>
    <r>
      <rPr>
        <sz val="9"/>
        <color theme="1"/>
        <rFont val="Arial"/>
        <family val="2"/>
      </rPr>
      <t>QVL</t>
    </r>
  </si>
  <si>
    <t>אישור ח"ג  וקשיחים</t>
  </si>
  <si>
    <r>
      <t xml:space="preserve">    </t>
    </r>
    <r>
      <rPr>
        <sz val="9"/>
        <color theme="1"/>
        <rFont val="Arial"/>
        <family val="2"/>
      </rPr>
      <t>2.</t>
    </r>
    <r>
      <rPr>
        <sz val="7"/>
        <color theme="1"/>
        <rFont val="Times New Roman"/>
        <family val="1"/>
      </rPr>
      <t xml:space="preserve">  </t>
    </r>
    <r>
      <rPr>
        <sz val="9"/>
        <color theme="1"/>
        <rFont val="Arial"/>
        <family val="2"/>
      </rPr>
      <t> </t>
    </r>
  </si>
  <si>
    <r>
      <t xml:space="preserve">התאמת </t>
    </r>
    <r>
      <rPr>
        <sz val="9"/>
        <color theme="1"/>
        <rFont val="Arial"/>
        <family val="2"/>
      </rPr>
      <t>RC</t>
    </r>
    <r>
      <rPr>
        <sz val="10"/>
        <color theme="1"/>
        <rFont val="Arial"/>
        <family val="2"/>
      </rPr>
      <t xml:space="preserve"> של יצרן ל-</t>
    </r>
    <r>
      <rPr>
        <sz val="9"/>
        <color theme="1"/>
        <rFont val="Arial"/>
        <family val="2"/>
      </rPr>
      <t>RC</t>
    </r>
    <r>
      <rPr>
        <sz val="10"/>
        <color theme="1"/>
        <rFont val="Arial"/>
        <family val="2"/>
      </rPr>
      <t xml:space="preserve"> שבשרטוט.</t>
    </r>
  </si>
  <si>
    <r>
      <t xml:space="preserve"> RC</t>
    </r>
    <r>
      <rPr>
        <sz val="10"/>
        <color theme="1"/>
        <rFont val="Arial"/>
        <family val="2"/>
      </rPr>
      <t xml:space="preserve">שרטוט, </t>
    </r>
  </si>
  <si>
    <t>RC</t>
  </si>
  <si>
    <r>
      <t xml:space="preserve">    </t>
    </r>
    <r>
      <rPr>
        <sz val="9"/>
        <color theme="1"/>
        <rFont val="Arial"/>
        <family val="2"/>
      </rPr>
      <t>3.</t>
    </r>
    <r>
      <rPr>
        <sz val="7"/>
        <color theme="1"/>
        <rFont val="Times New Roman"/>
        <family val="1"/>
      </rPr>
      <t xml:space="preserve">  </t>
    </r>
    <r>
      <rPr>
        <sz val="9"/>
        <color theme="1"/>
        <rFont val="Arial"/>
        <family val="2"/>
      </rPr>
      <t> </t>
    </r>
  </si>
  <si>
    <r>
      <t>ודא התאמת הטיפול לשרטוט, ל</t>
    </r>
    <r>
      <rPr>
        <sz val="9"/>
        <color theme="1"/>
        <rFont val="Arial"/>
        <family val="2"/>
      </rPr>
      <t>EDR</t>
    </r>
    <r>
      <rPr>
        <sz val="10"/>
        <color theme="1"/>
        <rFont val="Arial"/>
        <family val="2"/>
      </rPr>
      <t>, למפרט טיפול תרמי</t>
    </r>
  </si>
  <si>
    <r>
      <t>ודא ביצוע בדיקות מכניות לדגמים. (</t>
    </r>
    <r>
      <rPr>
        <sz val="9"/>
        <color theme="1"/>
        <rFont val="Arial"/>
        <family val="2"/>
      </rPr>
      <t xml:space="preserve">AIRCRAFT </t>
    </r>
  </si>
  <si>
    <t>בדיקת קיום גרף טמפ' /זמן</t>
  </si>
  <si>
    <r>
      <t>COC</t>
    </r>
    <r>
      <rPr>
        <sz val="10"/>
        <color theme="1"/>
        <rFont val="Arial"/>
        <family val="2"/>
      </rPr>
      <t xml:space="preserve"> של הטיפול התרמי, גרף טיפול תרמי</t>
    </r>
  </si>
  <si>
    <t>אישור טיפול תרמי</t>
  </si>
  <si>
    <r>
      <t xml:space="preserve">    </t>
    </r>
    <r>
      <rPr>
        <sz val="9"/>
        <color theme="1"/>
        <rFont val="Arial"/>
        <family val="2"/>
      </rPr>
      <t>4.</t>
    </r>
    <r>
      <rPr>
        <sz val="7"/>
        <color theme="1"/>
        <rFont val="Times New Roman"/>
        <family val="1"/>
      </rPr>
      <t xml:space="preserve">  </t>
    </r>
    <r>
      <rPr>
        <sz val="9"/>
        <color theme="1"/>
        <rFont val="Arial"/>
        <family val="2"/>
      </rPr>
      <t> </t>
    </r>
  </si>
  <si>
    <t>3 יחידות</t>
  </si>
  <si>
    <t>(אם לא מוגדר אחרת)</t>
  </si>
  <si>
    <t>בדוק רישום כל המידות ותכונות הפריט לפי השרטוט. בדוק רישום תוצאות לכל המידות.</t>
  </si>
  <si>
    <t>בדוק ביצוע ביקורת לפי מודל לכל מידות החלק.</t>
  </si>
  <si>
    <r>
      <t xml:space="preserve">דוח ביקורת </t>
    </r>
    <r>
      <rPr>
        <sz val="9"/>
        <color theme="1"/>
        <rFont val="Arial"/>
        <family val="2"/>
      </rPr>
      <t>IS</t>
    </r>
  </si>
  <si>
    <t>שרטוט</t>
  </si>
  <si>
    <r>
      <t xml:space="preserve">בדיקת </t>
    </r>
    <r>
      <rPr>
        <sz val="9"/>
        <color theme="1"/>
        <rFont val="Arial"/>
        <family val="2"/>
      </rPr>
      <t>IS</t>
    </r>
  </si>
  <si>
    <r>
      <t xml:space="preserve">    </t>
    </r>
    <r>
      <rPr>
        <sz val="9"/>
        <color theme="1"/>
        <rFont val="Arial"/>
        <family val="2"/>
      </rPr>
      <t>5.</t>
    </r>
    <r>
      <rPr>
        <sz val="7"/>
        <color theme="1"/>
        <rFont val="Times New Roman"/>
        <family val="1"/>
      </rPr>
      <t xml:space="preserve">  </t>
    </r>
    <r>
      <rPr>
        <sz val="9"/>
        <color theme="1"/>
        <rFont val="Arial"/>
        <family val="2"/>
      </rPr>
      <t> </t>
    </r>
  </si>
  <si>
    <t>ביקורת לכל המידות. סקירה חזותית להתאמה לשרטוט, פגיעות, נקי מקורוזיה. קוטר פנימי/חיצוני של תבריג.</t>
  </si>
  <si>
    <t xml:space="preserve">ודא שגודל המדגם תואם את שיטת הדגימה  Squeglia ולפי ציון האיכות של הספק. </t>
  </si>
  <si>
    <t>IS</t>
  </si>
  <si>
    <r>
      <t xml:space="preserve">ביקורת הפריט לפני ציפוי </t>
    </r>
    <r>
      <rPr>
        <sz val="7"/>
        <color theme="1"/>
        <rFont val="Arial"/>
        <family val="2"/>
      </rPr>
      <t>(</t>
    </r>
    <r>
      <rPr>
        <b/>
        <sz val="7"/>
        <color theme="1"/>
        <rFont val="Arial"/>
        <family val="2"/>
      </rPr>
      <t>בציפויים המשפיעים על מידות החלק)</t>
    </r>
  </si>
  <si>
    <r>
      <t xml:space="preserve">    </t>
    </r>
    <r>
      <rPr>
        <sz val="9"/>
        <color theme="1"/>
        <rFont val="Arial"/>
        <family val="2"/>
      </rPr>
      <t>6.</t>
    </r>
    <r>
      <rPr>
        <sz val="7"/>
        <color theme="1"/>
        <rFont val="Times New Roman"/>
        <family val="1"/>
      </rPr>
      <t xml:space="preserve">  </t>
    </r>
    <r>
      <rPr>
        <sz val="9"/>
        <color theme="1"/>
        <rFont val="Arial"/>
        <family val="2"/>
      </rPr>
      <t> </t>
    </r>
  </si>
  <si>
    <r>
      <t xml:space="preserve">ודא התאמת סוג הציפוי לשרטוט, </t>
    </r>
    <r>
      <rPr>
        <sz val="9"/>
        <color theme="1"/>
        <rFont val="Arial"/>
        <family val="2"/>
      </rPr>
      <t>EDR</t>
    </r>
    <r>
      <rPr>
        <sz val="10"/>
        <color theme="1"/>
        <rFont val="Arial"/>
        <family val="2"/>
      </rPr>
      <t>, מפרט הציפוי.</t>
    </r>
  </si>
  <si>
    <t>וודא התייחסות לנקודות עגינה. ודא עובי ציפוי,</t>
  </si>
  <si>
    <r>
      <t>COC</t>
    </r>
    <r>
      <rPr>
        <sz val="10"/>
        <color theme="1"/>
        <rFont val="Arial"/>
        <family val="2"/>
      </rPr>
      <t xml:space="preserve"> של הציפוי. </t>
    </r>
  </si>
  <si>
    <t>ציפוי</t>
  </si>
  <si>
    <r>
      <t xml:space="preserve">    </t>
    </r>
    <r>
      <rPr>
        <sz val="9"/>
        <color theme="1"/>
        <rFont val="Arial"/>
        <family val="2"/>
      </rPr>
      <t>7.</t>
    </r>
    <r>
      <rPr>
        <sz val="7"/>
        <color theme="1"/>
        <rFont val="Times New Roman"/>
        <family val="1"/>
      </rPr>
      <t xml:space="preserve">  </t>
    </r>
    <r>
      <rPr>
        <sz val="9"/>
        <color theme="1"/>
        <rFont val="Arial"/>
        <family val="2"/>
      </rPr>
      <t> </t>
    </r>
  </si>
  <si>
    <r>
      <t xml:space="preserve">ודא התאמת הצבע, לשרטוט. </t>
    </r>
    <r>
      <rPr>
        <sz val="9"/>
        <color theme="1"/>
        <rFont val="Arial"/>
        <family val="2"/>
      </rPr>
      <t>EDR</t>
    </r>
    <r>
      <rPr>
        <sz val="10"/>
        <color theme="1"/>
        <rFont val="Arial"/>
        <family val="2"/>
      </rPr>
      <t>, מפרט הצבע.</t>
    </r>
  </si>
  <si>
    <r>
      <t>ודא ביצוע בדיקת אדהזיה</t>
    </r>
    <r>
      <rPr>
        <sz val="9"/>
        <color theme="1"/>
        <rFont val="Arial"/>
        <family val="2"/>
      </rPr>
      <t>.</t>
    </r>
    <r>
      <rPr>
        <sz val="10"/>
        <color theme="1"/>
        <rFont val="Arial"/>
        <family val="2"/>
      </rPr>
      <t xml:space="preserve"> </t>
    </r>
  </si>
  <si>
    <t>עובי מתקבל, פירוט שכבות, מיסוך, דגם מלווה.</t>
  </si>
  <si>
    <r>
      <t xml:space="preserve">ודא את גוון הצבע בהתאם ל </t>
    </r>
    <r>
      <rPr>
        <sz val="9"/>
        <color theme="1"/>
        <rFont val="Arial"/>
        <family val="2"/>
      </rPr>
      <t>Raf#21957735</t>
    </r>
  </si>
  <si>
    <r>
      <t>COC</t>
    </r>
    <r>
      <rPr>
        <sz val="10"/>
        <color theme="1"/>
        <rFont val="Arial"/>
        <family val="2"/>
      </rPr>
      <t xml:space="preserve"> של הצביעה</t>
    </r>
  </si>
  <si>
    <t>צבע</t>
  </si>
  <si>
    <r>
      <t xml:space="preserve">    </t>
    </r>
    <r>
      <rPr>
        <sz val="9"/>
        <color theme="1"/>
        <rFont val="Arial"/>
        <family val="2"/>
      </rPr>
      <t>8.</t>
    </r>
    <r>
      <rPr>
        <sz val="7"/>
        <color theme="1"/>
        <rFont val="Times New Roman"/>
        <family val="1"/>
      </rPr>
      <t xml:space="preserve">  </t>
    </r>
    <r>
      <rPr>
        <sz val="9"/>
        <color theme="1"/>
        <rFont val="Arial"/>
        <family val="2"/>
      </rPr>
      <t> </t>
    </r>
  </si>
  <si>
    <r>
      <t xml:space="preserve">ודא ביצוע ריתוך בהתאם לרשימת תיוג לביצוע ריתוכים </t>
    </r>
    <r>
      <rPr>
        <sz val="9"/>
        <color theme="1"/>
        <rFont val="Arial"/>
        <family val="2"/>
      </rPr>
      <t>Raf#21509540</t>
    </r>
    <r>
      <rPr>
        <sz val="10"/>
        <color theme="1"/>
        <rFont val="Arial"/>
        <family val="2"/>
      </rPr>
      <t xml:space="preserve"> </t>
    </r>
  </si>
  <si>
    <t xml:space="preserve">רשימת תיוג </t>
  </si>
  <si>
    <t>ריתוך</t>
  </si>
  <si>
    <r>
      <t xml:space="preserve">    </t>
    </r>
    <r>
      <rPr>
        <sz val="9"/>
        <color theme="1"/>
        <rFont val="Arial"/>
        <family val="2"/>
      </rPr>
      <t>9.</t>
    </r>
    <r>
      <rPr>
        <sz val="7"/>
        <color theme="1"/>
        <rFont val="Times New Roman"/>
        <family val="1"/>
      </rPr>
      <t xml:space="preserve">  </t>
    </r>
    <r>
      <rPr>
        <sz val="9"/>
        <color theme="1"/>
        <rFont val="Arial"/>
        <family val="2"/>
      </rPr>
      <t> </t>
    </r>
  </si>
  <si>
    <t xml:space="preserve">3 יחידות </t>
  </si>
  <si>
    <r>
      <t xml:space="preserve">ביקורת חוזרת לתקינות כל המידות שנמדדו על ידי היצרן ובצע ביקורת מידות חוזרת, סקירה חזותית 100% עד 100 חלקים, קיום קשיחים, סימון, שילוט, פגיעות, ניקיון, שלמות ציפוי, צבע, נקי מקורוזיה, </t>
    </r>
    <r>
      <rPr>
        <b/>
        <sz val="10"/>
        <color theme="1"/>
        <rFont val="Arial"/>
        <family val="2"/>
      </rPr>
      <t>בדיקת תבריגים.</t>
    </r>
  </si>
  <si>
    <t>ביקורת סופית לאחר ציפוי, צבע.</t>
  </si>
  <si>
    <r>
      <t xml:space="preserve"> </t>
    </r>
    <r>
      <rPr>
        <sz val="9"/>
        <color theme="1"/>
        <rFont val="Arial"/>
        <family val="2"/>
      </rPr>
      <t>10.</t>
    </r>
    <r>
      <rPr>
        <sz val="7"/>
        <color theme="1"/>
        <rFont val="Times New Roman"/>
        <family val="1"/>
      </rPr>
      <t xml:space="preserve">  </t>
    </r>
    <r>
      <rPr>
        <sz val="9"/>
        <color theme="1"/>
        <rFont val="Arial"/>
        <family val="2"/>
      </rPr>
      <t> </t>
    </r>
  </si>
  <si>
    <t>שלמות אריזה. התאמה: למפרט, לגודל, למשקל הפריט, ולרמות הדיוק של  הפריט. כל פריט ייארז בנפרד.</t>
  </si>
  <si>
    <t>מפרט אריזה</t>
  </si>
  <si>
    <t>בדיקת אריזה</t>
  </si>
  <si>
    <r>
      <t xml:space="preserve"> </t>
    </r>
    <r>
      <rPr>
        <sz val="9"/>
        <color theme="1"/>
        <rFont val="Arial"/>
        <family val="2"/>
      </rPr>
      <t>11.</t>
    </r>
    <r>
      <rPr>
        <sz val="7"/>
        <color theme="1"/>
        <rFont val="Times New Roman"/>
        <family val="1"/>
      </rPr>
      <t xml:space="preserve">  </t>
    </r>
    <r>
      <rPr>
        <sz val="9"/>
        <color theme="1"/>
        <rFont val="Arial"/>
        <family val="2"/>
      </rPr>
      <t> </t>
    </r>
  </si>
  <si>
    <t>בדיקת התאמה של הפריט בהרכבה בקו הייצור ברפאל.</t>
  </si>
  <si>
    <t>הזמנת רכש</t>
  </si>
  <si>
    <r>
      <t xml:space="preserve">בדיקה במכלול האב - </t>
    </r>
    <r>
      <rPr>
        <sz val="9"/>
        <color theme="1"/>
        <rFont val="Arial"/>
        <family val="2"/>
      </rPr>
      <t>NHA</t>
    </r>
  </si>
  <si>
    <t>(לפרטי FAI רמה 3)</t>
  </si>
  <si>
    <r>
      <t xml:space="preserve"> </t>
    </r>
    <r>
      <rPr>
        <sz val="9"/>
        <color theme="1"/>
        <rFont val="Arial"/>
        <family val="2"/>
      </rPr>
      <t>12.</t>
    </r>
    <r>
      <rPr>
        <sz val="7"/>
        <color theme="1"/>
        <rFont val="Times New Roman"/>
        <family val="1"/>
      </rPr>
      <t xml:space="preserve">  </t>
    </r>
    <r>
      <rPr>
        <sz val="9"/>
        <color theme="1"/>
        <rFont val="Arial"/>
        <family val="2"/>
      </rPr>
      <t> </t>
    </r>
  </si>
  <si>
    <r>
      <t xml:space="preserve">מתן תג שמיש בפורטל רפאל, </t>
    </r>
    <r>
      <rPr>
        <b/>
        <sz val="10"/>
        <color theme="1"/>
        <rFont val="Arial"/>
        <family val="2"/>
      </rPr>
      <t>ודא שאין התראה על עדכון/שינוי.</t>
    </r>
  </si>
  <si>
    <t>פורטל רפאל</t>
  </si>
  <si>
    <t>מתן תג שמיש</t>
  </si>
  <si>
    <r>
      <t xml:space="preserve"> </t>
    </r>
    <r>
      <rPr>
        <sz val="9"/>
        <color theme="1"/>
        <rFont val="Arial"/>
        <family val="2"/>
      </rPr>
      <t>13.</t>
    </r>
    <r>
      <rPr>
        <sz val="7"/>
        <color theme="1"/>
        <rFont val="Times New Roman"/>
        <family val="1"/>
      </rPr>
      <t xml:space="preserve">  </t>
    </r>
    <r>
      <rPr>
        <sz val="9"/>
        <color theme="1"/>
        <rFont val="Arial"/>
        <family val="2"/>
      </rPr>
      <t> </t>
    </r>
  </si>
  <si>
    <r>
      <t>מק"ט פריט בן:</t>
    </r>
    <r>
      <rPr>
        <b/>
        <sz val="10"/>
        <color theme="1"/>
        <rFont val="Arial"/>
        <family val="2"/>
      </rPr>
      <t xml:space="preserve">  </t>
    </r>
  </si>
  <si>
    <r>
      <t>מספר הזמנה:</t>
    </r>
    <r>
      <rPr>
        <b/>
        <sz val="10"/>
        <color theme="1"/>
        <rFont val="Arial"/>
        <family val="2"/>
      </rPr>
      <t xml:space="preserve">   </t>
    </r>
  </si>
  <si>
    <r>
      <t>מספר השרטוט</t>
    </r>
    <r>
      <rPr>
        <b/>
        <sz val="10"/>
        <color rgb="FF0000FF"/>
        <rFont val="Arial"/>
        <family val="2"/>
      </rPr>
      <t xml:space="preserve"> : </t>
    </r>
  </si>
  <si>
    <t>שם פריט אב:</t>
  </si>
  <si>
    <r>
      <t>מהדורה:</t>
    </r>
    <r>
      <rPr>
        <b/>
        <sz val="10"/>
        <color rgb="FF0000FF"/>
        <rFont val="Arial"/>
        <family val="2"/>
      </rPr>
      <t xml:space="preserve">    </t>
    </r>
  </si>
  <si>
    <t xml:space="preserve">שם יצרן: </t>
  </si>
  <si>
    <t>י.ח אבידן בע"מ</t>
  </si>
  <si>
    <t>שרטוט, ומפרטים.
בהתאם ל- EDR,</t>
  </si>
  <si>
    <t>הערות:</t>
  </si>
  <si>
    <t>כל המידות הן לפני ציפוי, אלא אם לא צוין אחרת.</t>
  </si>
  <si>
    <t>ציין מס' סעיפי ביקורת:</t>
  </si>
  <si>
    <r>
      <t>Inspection Jigs</t>
    </r>
    <r>
      <rPr>
        <sz val="10"/>
        <color theme="1"/>
        <rFont val="Arial"/>
        <family val="2"/>
      </rPr>
      <t xml:space="preserve"> יאושר מראש ע"י המזמין.</t>
    </r>
  </si>
  <si>
    <t xml:space="preserve">אישור FAI: כן </t>
  </si>
  <si>
    <r>
      <t xml:space="preserve">אישור פריט ל- </t>
    </r>
    <r>
      <rPr>
        <sz val="9"/>
        <color theme="1"/>
        <rFont val="Arial"/>
        <family val="2"/>
      </rPr>
      <t>STS</t>
    </r>
    <r>
      <rPr>
        <sz val="10"/>
        <color theme="1"/>
        <rFont val="Arial"/>
        <family val="2"/>
      </rPr>
      <t xml:space="preserve">: (ליצרני </t>
    </r>
    <r>
      <rPr>
        <sz val="9"/>
        <color theme="1"/>
        <rFont val="Arial"/>
        <family val="2"/>
      </rPr>
      <t>STS</t>
    </r>
    <r>
      <rPr>
        <sz val="10"/>
        <color theme="1"/>
        <rFont val="Arial"/>
        <family val="2"/>
      </rPr>
      <t xml:space="preserve"> בלבד)</t>
    </r>
  </si>
  <si>
    <t>מנה 1       לא</t>
  </si>
  <si>
    <t xml:space="preserve">מנה 1            כן </t>
  </si>
  <si>
    <r>
      <t xml:space="preserve">מנת </t>
    </r>
    <r>
      <rPr>
        <sz val="9"/>
        <color theme="1"/>
        <rFont val="Arial"/>
        <family val="2"/>
      </rPr>
      <t>FAI</t>
    </r>
    <r>
      <rPr>
        <sz val="10"/>
        <color theme="1"/>
        <rFont val="Arial"/>
        <family val="2"/>
      </rPr>
      <t xml:space="preserve">        כן</t>
    </r>
  </si>
  <si>
    <t>מבקר:</t>
  </si>
  <si>
    <t>RC edited by: Vadim Gofman</t>
  </si>
  <si>
    <r>
      <t>Document number:</t>
    </r>
    <r>
      <rPr>
        <b/>
        <sz val="7"/>
        <color rgb="FF0000FF"/>
        <rFont val="Arial"/>
        <family val="2"/>
      </rPr>
      <t xml:space="preserve"> Docs: #119796</t>
    </r>
    <r>
      <rPr>
        <b/>
        <sz val="7"/>
        <color theme="1"/>
        <rFont val="Arial"/>
        <family val="2"/>
      </rPr>
      <t xml:space="preserve"> v6</t>
    </r>
  </si>
  <si>
    <t>Date:   8/11/01</t>
  </si>
  <si>
    <t>Approved by: Gideon Keren</t>
  </si>
  <si>
    <t xml:space="preserve">   Reason for Partial FAI:  </t>
  </si>
  <si>
    <t xml:space="preserve">   Baseline Part Number (including revision level):  </t>
  </si>
  <si>
    <t>FORM 1- PART NUMBER ACCOUNTABILITY</t>
  </si>
  <si>
    <t>5. Material or Process Name:</t>
  </si>
  <si>
    <t>7. Code</t>
  </si>
  <si>
    <t>8. Supplier:</t>
  </si>
  <si>
    <t>9. Customer Approval Verification:</t>
  </si>
  <si>
    <t>10. Certificate of Conformance number:</t>
  </si>
  <si>
    <t>12. Additional Data/ Comments</t>
  </si>
  <si>
    <t xml:space="preserve">  1. Part Number:</t>
  </si>
  <si>
    <t xml:space="preserve">  5. Part Revision Level:</t>
  </si>
  <si>
    <t xml:space="preserve">  9. Manufacturing Process Reference:</t>
  </si>
  <si>
    <t xml:space="preserve">  10. Organization Name:</t>
  </si>
  <si>
    <t xml:space="preserve">  2. Part Name:</t>
  </si>
  <si>
    <t xml:space="preserve">  3. Serial Number:</t>
  </si>
  <si>
    <t xml:space="preserve">  7. Drawing revision level:</t>
  </si>
  <si>
    <t xml:space="preserve">  4. FAIR Identifier: </t>
  </si>
  <si>
    <t xml:space="preserve">  8. Additional Changes:</t>
  </si>
  <si>
    <t xml:space="preserve">  11. Supplier Code:</t>
  </si>
  <si>
    <t xml:space="preserve">  12. Purchase Order Number:</t>
  </si>
  <si>
    <t xml:space="preserve">  13.  Detail </t>
  </si>
  <si>
    <t xml:space="preserve">  14.  Full FAI:</t>
  </si>
  <si>
    <t xml:space="preserve">  15. Part Number</t>
  </si>
  <si>
    <t xml:space="preserve">  16. Part Name</t>
  </si>
  <si>
    <t xml:space="preserve">  18. FAIR Identifier: </t>
  </si>
  <si>
    <t xml:space="preserve">  19. Does FAIR Contain a Documented Nonconformance(s)?       Yes               No    </t>
  </si>
  <si>
    <t xml:space="preserve">  20. FAIR Verified By:</t>
  </si>
  <si>
    <t xml:space="preserve">  22. FAIR Reviewed/Approved By:</t>
  </si>
  <si>
    <t xml:space="preserve">  24. Customer  Approval:  </t>
  </si>
  <si>
    <t xml:space="preserve">  26. Comments: </t>
  </si>
  <si>
    <t>AL6061</t>
  </si>
  <si>
    <t>CONVERTION COATIN TO IMROVE COROSSION RESISTANCE</t>
  </si>
  <si>
    <r>
      <t>a)</t>
    </r>
    <r>
      <rPr>
        <b/>
        <sz val="7"/>
        <color theme="1"/>
        <rFont val="Times New Roman"/>
        <family val="1"/>
      </rPr>
      <t xml:space="preserve">     </t>
    </r>
    <r>
      <rPr>
        <b/>
        <sz val="8"/>
        <color theme="1"/>
        <rFont val="Arial"/>
        <family val="2"/>
      </rPr>
      <t xml:space="preserve">if above part number is a detail part only, go to Field 19 </t>
    </r>
  </si>
  <si>
    <r>
      <t>b)</t>
    </r>
    <r>
      <rPr>
        <b/>
        <sz val="7"/>
        <color theme="1"/>
        <rFont val="Times New Roman"/>
        <family val="1"/>
      </rPr>
      <t xml:space="preserve">     </t>
    </r>
    <r>
      <rPr>
        <b/>
        <sz val="8"/>
        <color theme="1"/>
        <rFont val="Arial"/>
        <family val="2"/>
      </rPr>
      <t>if above part number is an assembly, go to the “INDEX” section below.</t>
    </r>
  </si>
  <si>
    <t>אנה לבזין</t>
  </si>
  <si>
    <t>COATING</t>
  </si>
  <si>
    <t>PAINTING</t>
  </si>
  <si>
    <t>MATERIAL</t>
  </si>
  <si>
    <t>HEAT TREATMENT</t>
  </si>
  <si>
    <t>INSTALLATION</t>
  </si>
  <si>
    <t>MARKING</t>
  </si>
  <si>
    <t>NEGATIVE PART</t>
  </si>
  <si>
    <t>COC/ COT</t>
  </si>
  <si>
    <t>SURFACE TEXTURE</t>
  </si>
  <si>
    <t>RADIUS</t>
  </si>
  <si>
    <t>DEPTH</t>
  </si>
  <si>
    <t>COAXILITY</t>
  </si>
  <si>
    <t>מספר דוח ביקורת סופית ללקוחות ביטחוניים:</t>
  </si>
  <si>
    <t>מספר דוח ביקורת פריט ראשון ללקוחות ביטחוניים:</t>
  </si>
  <si>
    <t>דפינה מספר</t>
  </si>
  <si>
    <t xml:space="preserve">מידה מתקבלת </t>
  </si>
  <si>
    <t>C.O.C CERTIFICATE OF COMPLIANCE</t>
  </si>
  <si>
    <t>CUSTOMER NAME:</t>
  </si>
  <si>
    <t>PART NUMBER:</t>
  </si>
  <si>
    <t>ORDER NUMBER:</t>
  </si>
  <si>
    <t>DESCRIPTION OF PART:</t>
  </si>
  <si>
    <t>PART REVISION:</t>
  </si>
  <si>
    <t>DRAWING NUMBER:</t>
  </si>
  <si>
    <t>DRAWING REVISION:</t>
  </si>
  <si>
    <t>DATE:</t>
  </si>
  <si>
    <t>QUANTITY:</t>
  </si>
  <si>
    <t>MATERIAL P.O NUMBER:</t>
  </si>
  <si>
    <t>LOT NUMBER:</t>
  </si>
  <si>
    <t>1.</t>
  </si>
  <si>
    <t>2.</t>
  </si>
  <si>
    <t>3.</t>
  </si>
  <si>
    <t>4.</t>
  </si>
  <si>
    <t>5.</t>
  </si>
  <si>
    <t>6.</t>
  </si>
  <si>
    <t>7.</t>
  </si>
  <si>
    <t>8.</t>
  </si>
  <si>
    <t>9.</t>
  </si>
  <si>
    <t>10.</t>
  </si>
  <si>
    <t>It is hereby certified that items supplied against the above purchase order have been
manufactured inspected and\or tasted and meet exceed all applicable specifications.
All inspection and\or test records are on file and available for review under the identification/lot number.
We certify that this material does not contain and\or was not contaminated by mercury compoun</t>
  </si>
  <si>
    <t>CIRCUIT</t>
  </si>
  <si>
    <t>ROHS 3</t>
  </si>
  <si>
    <t>NON ROHS</t>
  </si>
  <si>
    <t>Title:</t>
  </si>
  <si>
    <t>Q.A.</t>
  </si>
  <si>
    <t>Name:</t>
  </si>
  <si>
    <t>Signature:</t>
  </si>
  <si>
    <t>תיאור ח"ג:</t>
  </si>
  <si>
    <t>מספר הזמנת ח"ג:</t>
  </si>
  <si>
    <t>מספר LOT:</t>
  </si>
  <si>
    <t xml:space="preserve">  Supplier's Name:   J.H. AVIDAN L.T.D.</t>
  </si>
  <si>
    <t>REMOVE BURRS</t>
  </si>
  <si>
    <t>TAP+CALIPER</t>
  </si>
  <si>
    <t>רוסלן דרובקין</t>
  </si>
  <si>
    <t>RAFAEL</t>
  </si>
  <si>
    <t xml:space="preserve">  17. Part Type:</t>
  </si>
  <si>
    <t xml:space="preserve">  6. Drawing Number		</t>
  </si>
  <si>
    <t>מספר דוח ביקורת בתהליך ללקוחות ביטחוניים:</t>
  </si>
  <si>
    <t>יש לבצע בדיקה בתהליך כל:</t>
  </si>
  <si>
    <t>בדיקה 3</t>
  </si>
  <si>
    <t>בדיקה 4</t>
  </si>
  <si>
    <t>בדיקה 5</t>
  </si>
  <si>
    <t>בדיקה 6</t>
  </si>
  <si>
    <t>בדיקה 7</t>
  </si>
  <si>
    <t>בדיקה</t>
  </si>
  <si>
    <t>ממספר</t>
  </si>
  <si>
    <t>עד מספר</t>
  </si>
  <si>
    <t>בדיקה 8</t>
  </si>
  <si>
    <t>בדיקה 9</t>
  </si>
  <si>
    <t>בדיקה 10</t>
  </si>
  <si>
    <t>כמות פסולים:</t>
  </si>
  <si>
    <t>תאריך הבדיקה:</t>
  </si>
  <si>
    <t>שם הבודק:</t>
  </si>
  <si>
    <t>מיכאלה ליטבינוף</t>
  </si>
  <si>
    <r>
      <t>סיבת FAI (סמן ב- X):  פריט חדש       הפסקת ייצור מעל</t>
    </r>
    <r>
      <rPr>
        <b/>
        <sz val="10"/>
        <color theme="3" tint="0.499984740745262"/>
        <rFont val="Arial"/>
        <family val="2"/>
        <scheme val="minor"/>
      </rPr>
      <t xml:space="preserve"> </t>
    </r>
    <r>
      <rPr>
        <b/>
        <sz val="10"/>
        <color rgb="FF3D6AE9"/>
        <rFont val="Arial"/>
        <family val="2"/>
        <scheme val="minor"/>
      </rPr>
      <t>24</t>
    </r>
    <r>
      <rPr>
        <sz val="10"/>
        <color rgb="FF00B0F0"/>
        <rFont val="Arial"/>
        <family val="2"/>
        <scheme val="minor"/>
      </rPr>
      <t xml:space="preserve"> </t>
    </r>
    <r>
      <rPr>
        <sz val="10"/>
        <rFont val="Arial"/>
        <family val="2"/>
        <scheme val="minor"/>
      </rPr>
      <t>חודשים        שינויים ע"פ ג"ש או ACO/ECO</t>
    </r>
  </si>
  <si>
    <t>PR :</t>
  </si>
  <si>
    <t>PART NUMBER REVISION:</t>
  </si>
  <si>
    <t>11.</t>
  </si>
  <si>
    <t>בדיקה 11</t>
  </si>
  <si>
    <t>בדיקה 12</t>
  </si>
  <si>
    <t>בדיקה 13</t>
  </si>
  <si>
    <t>בדיקה 14</t>
  </si>
  <si>
    <t>מינימום</t>
  </si>
  <si>
    <t>מקסימום</t>
  </si>
  <si>
    <t>הערות</t>
  </si>
  <si>
    <t>METALPLAS</t>
  </si>
  <si>
    <t>AGAMIM</t>
  </si>
  <si>
    <t>DIGITAL CAT</t>
  </si>
  <si>
    <t>ג'ין מהנדסים</t>
  </si>
  <si>
    <t>בדיקה 2</t>
  </si>
  <si>
    <t>(מספר תיק)</t>
  </si>
  <si>
    <t>דוח ביקורת</t>
  </si>
  <si>
    <t>ANSI/ASQC Z1.4 LEVEL 2</t>
  </si>
  <si>
    <t>FLEX</t>
  </si>
  <si>
    <t>OK</t>
  </si>
  <si>
    <t>סרגיי קרוגלישב</t>
  </si>
  <si>
    <t>HAMATECHET</t>
  </si>
  <si>
    <t>YHA</t>
  </si>
  <si>
    <t>ASSEMBLING</t>
  </si>
  <si>
    <t>YO MISTER 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</si>
</sst>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d\.m\.yyyy;@"/>
    <numFmt numFmtId="165" formatCode="[$-1010000]d/m/yyyy;@"/>
  </numFmts>
  <fonts count="51" x14ac:knownFonts="1">
    <font>
      <sz val="11"/>
      <color theme="1"/>
      <name val="Arial"/>
      <family val="2"/>
      <scheme val="minor"/>
    </font>
    <font>
      <b/>
      <sz val="11"/>
      <color theme="1"/>
      <name val="Arial"/>
      <family val="2"/>
      <scheme val="minor"/>
    </font>
    <font>
      <b/>
      <sz val="16"/>
      <color theme="1"/>
      <name val="Arial"/>
      <family val="2"/>
      <scheme val="minor"/>
    </font>
    <font>
      <b/>
      <sz val="9"/>
      <color theme="1"/>
      <name val="Arial"/>
      <family val="2"/>
      <scheme val="minor"/>
    </font>
    <font>
      <sz val="9"/>
      <color theme="1"/>
      <name val="Arial"/>
      <family val="2"/>
      <scheme val="minor"/>
    </font>
    <font>
      <b/>
      <sz val="10"/>
      <color theme="1"/>
      <name val="Arial"/>
      <family val="2"/>
      <scheme val="minor"/>
    </font>
    <font>
      <b/>
      <u/>
      <sz val="11"/>
      <color theme="1"/>
      <name val="Arial"/>
      <family val="2"/>
      <scheme val="minor"/>
    </font>
    <font>
      <b/>
      <sz val="14"/>
      <color theme="1"/>
      <name val="Arial"/>
      <family val="2"/>
      <scheme val="minor"/>
    </font>
    <font>
      <sz val="10"/>
      <color theme="1"/>
      <name val="Times New Roman"/>
      <family val="1"/>
    </font>
    <font>
      <sz val="12"/>
      <color theme="1"/>
      <name val="Calibri"/>
      <family val="2"/>
    </font>
    <font>
      <sz val="7"/>
      <color theme="1"/>
      <name val="Times New Roman"/>
      <family val="1"/>
    </font>
    <font>
      <b/>
      <sz val="8"/>
      <color theme="1"/>
      <name val="Arial"/>
      <family val="2"/>
    </font>
    <font>
      <b/>
      <i/>
      <sz val="8"/>
      <color theme="1"/>
      <name val="Arial"/>
      <family val="2"/>
    </font>
    <font>
      <b/>
      <sz val="10"/>
      <color theme="1"/>
      <name val="Calibri Light"/>
      <family val="2"/>
    </font>
    <font>
      <b/>
      <sz val="9"/>
      <color theme="1"/>
      <name val="Arial"/>
      <family val="2"/>
    </font>
    <font>
      <sz val="10"/>
      <color theme="1"/>
      <name val="Calibri Light"/>
      <family val="2"/>
    </font>
    <font>
      <b/>
      <sz val="10"/>
      <color theme="1"/>
      <name val="Times New Roman"/>
      <family val="1"/>
    </font>
    <font>
      <sz val="8"/>
      <color theme="1"/>
      <name val="Times New Roman"/>
      <family val="1"/>
    </font>
    <font>
      <sz val="8"/>
      <color theme="1"/>
      <name val="Arial"/>
      <family val="2"/>
    </font>
    <font>
      <i/>
      <sz val="8"/>
      <color theme="1"/>
      <name val="Arial"/>
      <family val="2"/>
    </font>
    <font>
      <b/>
      <sz val="12"/>
      <color theme="1"/>
      <name val="Times New Roman"/>
      <family val="1"/>
    </font>
    <font>
      <b/>
      <sz val="10"/>
      <color theme="1"/>
      <name val="Arial"/>
      <family val="2"/>
    </font>
    <font>
      <sz val="7"/>
      <color theme="1"/>
      <name val="Arial"/>
      <family val="2"/>
    </font>
    <font>
      <sz val="10"/>
      <color theme="1"/>
      <name val="Arial"/>
      <family val="2"/>
    </font>
    <font>
      <b/>
      <i/>
      <sz val="8"/>
      <color rgb="FF000000"/>
      <name val="Arial"/>
      <family val="2"/>
    </font>
    <font>
      <i/>
      <sz val="8"/>
      <color rgb="FF000000"/>
      <name val="Arial"/>
      <family val="2"/>
    </font>
    <font>
      <b/>
      <sz val="8"/>
      <color rgb="FF000000"/>
      <name val="Arial"/>
      <family val="2"/>
    </font>
    <font>
      <sz val="8"/>
      <color rgb="FF000000"/>
      <name val="Arial"/>
      <family val="2"/>
    </font>
    <font>
      <b/>
      <sz val="11"/>
      <color theme="1"/>
      <name val="Arial"/>
      <family val="2"/>
    </font>
    <font>
      <b/>
      <sz val="12"/>
      <color theme="1"/>
      <name val="Arial"/>
      <family val="2"/>
    </font>
    <font>
      <sz val="11"/>
      <color theme="1"/>
      <name val="Arial"/>
      <family val="2"/>
    </font>
    <font>
      <b/>
      <sz val="11"/>
      <color rgb="FF0000FF"/>
      <name val="Arial"/>
      <family val="2"/>
    </font>
    <font>
      <b/>
      <sz val="10"/>
      <color rgb="FF0000FF"/>
      <name val="Arial"/>
      <family val="2"/>
    </font>
    <font>
      <sz val="9"/>
      <color theme="1"/>
      <name val="Arial"/>
      <family val="2"/>
    </font>
    <font>
      <b/>
      <sz val="7"/>
      <color theme="1"/>
      <name val="Arial"/>
      <family val="2"/>
    </font>
    <font>
      <sz val="10"/>
      <color theme="1"/>
      <name val="Arial"/>
      <family val="2"/>
      <scheme val="minor"/>
    </font>
    <font>
      <sz val="10"/>
      <color rgb="FF00B0F0"/>
      <name val="Arial"/>
      <family val="2"/>
      <scheme val="minor"/>
    </font>
    <font>
      <sz val="10"/>
      <name val="Arial"/>
      <family val="2"/>
      <scheme val="minor"/>
    </font>
    <font>
      <b/>
      <sz val="10"/>
      <color theme="3" tint="0.499984740745262"/>
      <name val="Arial"/>
      <family val="2"/>
      <scheme val="minor"/>
    </font>
    <font>
      <b/>
      <sz val="10"/>
      <color rgb="FF3D6AE9"/>
      <name val="Arial"/>
      <family val="2"/>
      <scheme val="minor"/>
    </font>
    <font>
      <b/>
      <sz val="7"/>
      <color rgb="FF0000FF"/>
      <name val="Arial"/>
      <family val="2"/>
    </font>
    <font>
      <sz val="14"/>
      <color theme="1"/>
      <name val="Calibri"/>
      <family val="2"/>
    </font>
    <font>
      <b/>
      <sz val="7"/>
      <color theme="1"/>
      <name val="Times New Roman"/>
      <family val="1"/>
    </font>
    <font>
      <sz val="8"/>
      <name val="Arial"/>
      <family val="2"/>
      <scheme val="minor"/>
    </font>
    <font>
      <sz val="14"/>
      <color theme="1"/>
      <name val="Arial"/>
      <family val="2"/>
      <scheme val="minor"/>
    </font>
    <font>
      <b/>
      <sz val="18"/>
      <color theme="1"/>
      <name val="Arial"/>
      <family val="2"/>
      <scheme val="minor"/>
    </font>
    <font>
      <b/>
      <sz val="22"/>
      <color theme="1"/>
      <name val="Arial"/>
      <family val="2"/>
      <scheme val="minor"/>
    </font>
    <font>
      <b/>
      <sz val="12"/>
      <color theme="1"/>
      <name val="Arial"/>
      <family val="2"/>
      <scheme val="minor"/>
    </font>
    <font>
      <b/>
      <sz val="36"/>
      <color theme="1"/>
      <name val="Arial"/>
      <family val="2"/>
      <scheme val="minor"/>
    </font>
    <font>
      <b/>
      <sz val="20"/>
      <color theme="1"/>
      <name val="Arial"/>
      <family val="2"/>
      <scheme val="minor"/>
    </font>
    <font>
      <sz val="10"/>
      <color rgb="FF000000"/>
      <name val="Aptos Narrow"/>
    </font>
  </fonts>
  <fills count="3">
    <fill>
      <patternFill patternType="none"/>
    </fill>
    <fill>
      <patternFill patternType="gray125"/>
    </fill>
    <fill>
      <patternFill patternType="solid">
        <fgColor theme="0"/>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ck">
        <color indexed="64"/>
      </left>
      <right style="thick">
        <color indexed="64"/>
      </right>
      <top/>
      <bottom style="medium">
        <color indexed="64"/>
      </bottom>
      <diagonal/>
    </border>
    <border>
      <left style="thick">
        <color indexed="64"/>
      </left>
      <right style="thick">
        <color indexed="64"/>
      </right>
      <top/>
      <bottom/>
      <diagonal/>
    </border>
    <border>
      <left/>
      <right style="thick">
        <color indexed="64"/>
      </right>
      <top/>
      <bottom style="medium">
        <color indexed="64"/>
      </bottom>
      <diagonal/>
    </border>
    <border>
      <left/>
      <right style="thick">
        <color indexed="64"/>
      </right>
      <top/>
      <bottom/>
      <diagonal/>
    </border>
    <border>
      <left style="thick">
        <color indexed="64"/>
      </left>
      <right style="thick">
        <color indexed="64"/>
      </right>
      <top style="medium">
        <color indexed="64"/>
      </top>
      <bottom/>
      <diagonal/>
    </border>
    <border>
      <left style="thick">
        <color indexed="64"/>
      </left>
      <right/>
      <top/>
      <bottom/>
      <diagonal/>
    </border>
    <border>
      <left/>
      <right style="thick">
        <color indexed="64"/>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medium">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diagonal/>
    </border>
    <border>
      <left style="thick">
        <color indexed="64"/>
      </left>
      <right style="medium">
        <color indexed="64"/>
      </right>
      <top/>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583">
    <xf numFmtId="0" fontId="0" fillId="0" borderId="0" xfId="0"/>
    <xf numFmtId="0" fontId="0" fillId="0" borderId="0" xfId="0" applyAlignment="1">
      <alignment horizontal="center"/>
    </xf>
    <xf numFmtId="3" fontId="0" fillId="0" borderId="0" xfId="0" applyNumberFormat="1"/>
    <xf numFmtId="3" fontId="0" fillId="0" borderId="4" xfId="0" applyNumberFormat="1" applyBorder="1"/>
    <xf numFmtId="0" fontId="0" fillId="0" borderId="4" xfId="0" applyBorder="1"/>
    <xf numFmtId="0" fontId="1" fillId="0" borderId="5" xfId="0" applyFont="1" applyBorder="1" applyAlignment="1">
      <alignment horizontal="center" vertical="center"/>
    </xf>
    <xf numFmtId="0" fontId="1" fillId="0" borderId="0" xfId="0" applyFont="1"/>
    <xf numFmtId="0" fontId="2" fillId="0" borderId="0" xfId="0" applyFont="1"/>
    <xf numFmtId="0" fontId="0" fillId="0" borderId="3" xfId="0" applyBorder="1"/>
    <xf numFmtId="0" fontId="0" fillId="0" borderId="2" xfId="0" applyBorder="1" applyAlignment="1">
      <alignment horizontal="center" vertical="center"/>
    </xf>
    <xf numFmtId="0" fontId="0" fillId="0" borderId="0" xfId="0" applyAlignment="1">
      <alignment horizontal="center" vertical="center"/>
    </xf>
    <xf numFmtId="0" fontId="1" fillId="0" borderId="15" xfId="0" applyFont="1" applyBorder="1"/>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15" xfId="0" applyFont="1" applyBorder="1" applyAlignment="1">
      <alignment horizontal="center" vertical="center"/>
    </xf>
    <xf numFmtId="0" fontId="0" fillId="0" borderId="15" xfId="0" applyBorder="1"/>
    <xf numFmtId="0" fontId="3" fillId="0" borderId="13" xfId="0" applyFont="1" applyBorder="1"/>
    <xf numFmtId="0" fontId="4" fillId="0" borderId="11" xfId="0" applyFont="1" applyBorder="1"/>
    <xf numFmtId="0" fontId="3" fillId="0" borderId="9" xfId="0" applyFont="1" applyBorder="1"/>
    <xf numFmtId="0" fontId="3" fillId="0" borderId="10" xfId="0" applyFont="1" applyBorder="1"/>
    <xf numFmtId="0" fontId="6" fillId="0" borderId="0" xfId="0" applyFont="1"/>
    <xf numFmtId="0" fontId="1" fillId="0" borderId="12" xfId="0" applyFont="1" applyBorder="1" applyAlignment="1">
      <alignment horizontal="center" vertical="center"/>
    </xf>
    <xf numFmtId="0" fontId="1" fillId="0" borderId="0" xfId="0" applyFont="1" applyAlignment="1">
      <alignment vertical="center"/>
    </xf>
    <xf numFmtId="0" fontId="0" fillId="0" borderId="7" xfId="0" applyBorder="1"/>
    <xf numFmtId="0" fontId="1" fillId="0" borderId="31"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32"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1" fillId="0" borderId="0" xfId="0" applyFont="1" applyAlignment="1">
      <alignment horizontal="center" vertical="center"/>
    </xf>
    <xf numFmtId="0" fontId="0" fillId="0" borderId="16" xfId="0" applyBorder="1"/>
    <xf numFmtId="0" fontId="0" fillId="0" borderId="35" xfId="0" applyBorder="1"/>
    <xf numFmtId="0" fontId="0" fillId="0" borderId="36" xfId="0" applyBorder="1"/>
    <xf numFmtId="0" fontId="0" fillId="0" borderId="14" xfId="0" applyBorder="1"/>
    <xf numFmtId="0" fontId="0" fillId="0" borderId="37" xfId="0" applyBorder="1"/>
    <xf numFmtId="0" fontId="0" fillId="0" borderId="24" xfId="0" applyBorder="1"/>
    <xf numFmtId="0" fontId="0" fillId="0" borderId="38" xfId="0" applyBorder="1"/>
    <xf numFmtId="0" fontId="9" fillId="0" borderId="0" xfId="0" applyFont="1" applyAlignment="1">
      <alignment horizontal="center" vertical="center"/>
    </xf>
    <xf numFmtId="0" fontId="9" fillId="0" borderId="0" xfId="0" applyFont="1" applyAlignment="1">
      <alignment horizontal="right" vertical="center"/>
    </xf>
    <xf numFmtId="0" fontId="11" fillId="0" borderId="0" xfId="0" applyFont="1" applyAlignment="1">
      <alignment horizontal="left" vertical="center" wrapText="1"/>
    </xf>
    <xf numFmtId="0" fontId="8" fillId="0" borderId="0" xfId="0" applyFont="1" applyAlignment="1">
      <alignment vertical="center" wrapText="1"/>
    </xf>
    <xf numFmtId="0" fontId="11" fillId="0" borderId="24" xfId="0" applyFont="1" applyBorder="1" applyAlignment="1">
      <alignment horizontal="left" vertical="center" wrapText="1"/>
    </xf>
    <xf numFmtId="0" fontId="11" fillId="0" borderId="38" xfId="0" applyFont="1" applyBorder="1" applyAlignment="1">
      <alignment vertical="top" wrapText="1"/>
    </xf>
    <xf numFmtId="0" fontId="12" fillId="0" borderId="38" xfId="0" applyFont="1" applyBorder="1" applyAlignment="1">
      <alignment horizontal="left" vertical="center" wrapText="1"/>
    </xf>
    <xf numFmtId="0" fontId="24" fillId="0" borderId="38" xfId="0" applyFont="1" applyBorder="1" applyAlignment="1">
      <alignment vertical="center" wrapText="1"/>
    </xf>
    <xf numFmtId="0" fontId="22" fillId="0" borderId="38" xfId="0" applyFont="1" applyBorder="1" applyAlignment="1">
      <alignment horizontal="left" vertical="center" wrapText="1"/>
    </xf>
    <xf numFmtId="0" fontId="11" fillId="0" borderId="3" xfId="0" applyFont="1" applyBorder="1" applyAlignment="1">
      <alignment horizontal="lef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1" fillId="0" borderId="23" xfId="0" applyFont="1" applyBorder="1" applyAlignment="1">
      <alignment horizontal="left" vertical="center" wrapText="1"/>
    </xf>
    <xf numFmtId="0" fontId="17" fillId="0" borderId="0" xfId="0" applyFont="1" applyAlignment="1">
      <alignment vertical="center"/>
    </xf>
    <xf numFmtId="0" fontId="13" fillId="0" borderId="37"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16" fillId="0" borderId="38" xfId="0" applyFont="1" applyBorder="1" applyAlignment="1">
      <alignment horizontal="center" vertical="center" wrapText="1"/>
    </xf>
    <xf numFmtId="0" fontId="18" fillId="0" borderId="38" xfId="0" applyFont="1" applyBorder="1" applyAlignment="1">
      <alignment horizontal="center" vertical="center" wrapText="1"/>
    </xf>
    <xf numFmtId="0" fontId="18" fillId="0" borderId="36" xfId="0" applyFont="1" applyBorder="1" applyAlignment="1">
      <alignment horizontal="center" vertical="center" wrapText="1"/>
    </xf>
    <xf numFmtId="0" fontId="18" fillId="0" borderId="37" xfId="0" applyFont="1" applyBorder="1" applyAlignment="1">
      <alignment horizontal="center" vertical="center" wrapText="1"/>
    </xf>
    <xf numFmtId="0" fontId="16" fillId="0" borderId="37" xfId="0" applyFont="1" applyBorder="1" applyAlignment="1">
      <alignment horizontal="center" vertical="center" wrapText="1"/>
    </xf>
    <xf numFmtId="0" fontId="21" fillId="0" borderId="37" xfId="0" applyFont="1" applyBorder="1" applyAlignment="1">
      <alignment horizontal="center" vertical="center" wrapText="1"/>
    </xf>
    <xf numFmtId="0" fontId="13" fillId="0" borderId="7" xfId="0" applyFont="1" applyBorder="1" applyAlignment="1">
      <alignment horizontal="center" vertical="center" wrapText="1"/>
    </xf>
    <xf numFmtId="0" fontId="1" fillId="0" borderId="24" xfId="0" applyFont="1" applyBorder="1" applyAlignment="1">
      <alignment horizontal="center"/>
    </xf>
    <xf numFmtId="0" fontId="21" fillId="0" borderId="24" xfId="0" applyFont="1" applyBorder="1" applyAlignment="1">
      <alignment horizontal="center" vertical="center" wrapText="1"/>
    </xf>
    <xf numFmtId="0" fontId="21" fillId="0" borderId="7" xfId="0" applyFont="1" applyBorder="1" applyAlignment="1">
      <alignment horizontal="center" vertical="center" wrapText="1"/>
    </xf>
    <xf numFmtId="0" fontId="18" fillId="0" borderId="35" xfId="0" applyFont="1" applyBorder="1" applyAlignment="1">
      <alignment vertical="center" wrapText="1"/>
    </xf>
    <xf numFmtId="0" fontId="27" fillId="0" borderId="35"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0" xfId="0" applyFont="1" applyAlignment="1">
      <alignment vertical="center" wrapText="1"/>
    </xf>
    <xf numFmtId="0" fontId="9" fillId="0" borderId="0" xfId="0" applyFont="1" applyAlignment="1">
      <alignment horizontal="center"/>
    </xf>
    <xf numFmtId="0" fontId="18" fillId="0" borderId="23" xfId="0" applyFont="1" applyBorder="1" applyAlignment="1">
      <alignment horizontal="center" vertical="center" wrapText="1"/>
    </xf>
    <xf numFmtId="0" fontId="12" fillId="0" borderId="23" xfId="0" applyFont="1" applyBorder="1" applyAlignment="1">
      <alignment horizontal="left" vertical="center" wrapText="1"/>
    </xf>
    <xf numFmtId="0" fontId="0" fillId="0" borderId="35" xfId="0" applyBorder="1" applyAlignment="1">
      <alignment horizontal="center" vertical="center"/>
    </xf>
    <xf numFmtId="0" fontId="22" fillId="0" borderId="23" xfId="0" applyFont="1" applyBorder="1" applyAlignment="1">
      <alignment horizontal="center" vertical="center" wrapText="1"/>
    </xf>
    <xf numFmtId="0" fontId="22" fillId="0" borderId="38"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37" xfId="0" applyFont="1" applyBorder="1" applyAlignment="1">
      <alignment horizontal="center" vertical="center" wrapText="1"/>
    </xf>
    <xf numFmtId="0" fontId="21" fillId="0" borderId="24" xfId="0" applyFont="1" applyBorder="1" applyAlignment="1">
      <alignment horizontal="center" vertical="center"/>
    </xf>
    <xf numFmtId="0" fontId="0" fillId="0" borderId="1" xfId="0" applyBorder="1" applyAlignment="1">
      <alignment horizontal="center" vertical="center"/>
    </xf>
    <xf numFmtId="0" fontId="0" fillId="0" borderId="1" xfId="0" applyBorder="1"/>
    <xf numFmtId="0" fontId="0" fillId="0" borderId="2" xfId="0" applyBorder="1"/>
    <xf numFmtId="0" fontId="29" fillId="0" borderId="38" xfId="0" applyFont="1" applyBorder="1" applyAlignment="1">
      <alignment horizontal="center" vertical="center" wrapText="1"/>
    </xf>
    <xf numFmtId="0" fontId="23" fillId="0" borderId="52" xfId="0" applyFont="1" applyBorder="1" applyAlignment="1">
      <alignment horizontal="right" vertical="center" wrapText="1" readingOrder="2"/>
    </xf>
    <xf numFmtId="0" fontId="23" fillId="0" borderId="52" xfId="0" applyFont="1" applyBorder="1" applyAlignment="1">
      <alignment horizontal="center" vertical="center" wrapText="1" readingOrder="2"/>
    </xf>
    <xf numFmtId="0" fontId="28" fillId="0" borderId="0" xfId="0" applyFont="1" applyAlignment="1">
      <alignment horizontal="center" vertical="center" wrapText="1" readingOrder="2"/>
    </xf>
    <xf numFmtId="0" fontId="14" fillId="0" borderId="58"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10" fillId="0" borderId="58" xfId="0" applyFont="1" applyBorder="1" applyAlignment="1">
      <alignment horizontal="right" vertical="center" wrapText="1" readingOrder="2"/>
    </xf>
    <xf numFmtId="0" fontId="33" fillId="0" borderId="59" xfId="0" applyFont="1" applyBorder="1" applyAlignment="1">
      <alignment horizontal="right" vertical="center" wrapText="1" readingOrder="2"/>
    </xf>
    <xf numFmtId="0" fontId="23" fillId="0" borderId="59" xfId="0" applyFont="1" applyBorder="1" applyAlignment="1">
      <alignment horizontal="right" vertical="center" wrapText="1" readingOrder="2"/>
    </xf>
    <xf numFmtId="0" fontId="33" fillId="0" borderId="65" xfId="0" applyFont="1" applyBorder="1" applyAlignment="1">
      <alignment horizontal="center" vertical="center" wrapText="1" readingOrder="2"/>
    </xf>
    <xf numFmtId="0" fontId="23" fillId="0" borderId="55" xfId="0" applyFont="1" applyBorder="1" applyAlignment="1">
      <alignment horizontal="right" vertical="center" wrapText="1" readingOrder="2"/>
    </xf>
    <xf numFmtId="0" fontId="18" fillId="0" borderId="51" xfId="0" applyFont="1" applyBorder="1" applyAlignment="1">
      <alignment horizontal="center" vertical="center" wrapText="1" readingOrder="2"/>
    </xf>
    <xf numFmtId="0" fontId="18" fillId="0" borderId="52" xfId="0" applyFont="1" applyBorder="1" applyAlignment="1">
      <alignment horizontal="center" vertical="center" wrapText="1" readingOrder="2"/>
    </xf>
    <xf numFmtId="0" fontId="34" fillId="0" borderId="52" xfId="0" applyFont="1" applyBorder="1" applyAlignment="1">
      <alignment horizontal="center" vertical="center" wrapText="1" readingOrder="2"/>
    </xf>
    <xf numFmtId="0" fontId="18" fillId="0" borderId="52" xfId="0" applyFont="1" applyBorder="1" applyAlignment="1">
      <alignment horizontal="right" vertical="center" wrapText="1" readingOrder="2"/>
    </xf>
    <xf numFmtId="0" fontId="23" fillId="0" borderId="14" xfId="0" applyFont="1" applyBorder="1" applyAlignment="1">
      <alignment horizontal="center" vertical="center" wrapText="1" readingOrder="2"/>
    </xf>
    <xf numFmtId="0" fontId="23" fillId="0" borderId="24" xfId="0" applyFont="1" applyBorder="1" applyAlignment="1">
      <alignment horizontal="center" vertical="center" wrapText="1" readingOrder="2"/>
    </xf>
    <xf numFmtId="0" fontId="0" fillId="0" borderId="1" xfId="0" applyBorder="1" applyAlignment="1">
      <alignment vertical="center"/>
    </xf>
    <xf numFmtId="0" fontId="0" fillId="0" borderId="3" xfId="0" applyBorder="1" applyAlignment="1">
      <alignment vertical="center"/>
    </xf>
    <xf numFmtId="165" fontId="0" fillId="0" borderId="3" xfId="0" applyNumberFormat="1" applyBorder="1" applyAlignment="1">
      <alignment vertical="center"/>
    </xf>
    <xf numFmtId="0" fontId="28" fillId="0" borderId="14" xfId="0" applyFont="1" applyBorder="1" applyAlignment="1">
      <alignment horizontal="center" vertical="center" wrapText="1" readingOrder="2"/>
    </xf>
    <xf numFmtId="0" fontId="21" fillId="0" borderId="65" xfId="0" applyFont="1" applyBorder="1" applyAlignment="1">
      <alignment horizontal="center" vertical="center" wrapText="1" readingOrder="2"/>
    </xf>
    <xf numFmtId="0" fontId="11" fillId="0" borderId="3" xfId="0" applyFont="1" applyBorder="1" applyAlignment="1">
      <alignment horizontal="left" vertical="top" wrapText="1"/>
    </xf>
    <xf numFmtId="0" fontId="12" fillId="0" borderId="2" xfId="0" applyFont="1" applyBorder="1" applyAlignment="1">
      <alignment horizontal="left" vertical="top" wrapText="1"/>
    </xf>
    <xf numFmtId="0" fontId="35" fillId="0" borderId="7" xfId="0" applyFont="1" applyBorder="1" applyAlignment="1">
      <alignment wrapText="1"/>
    </xf>
    <xf numFmtId="0" fontId="0" fillId="0" borderId="33" xfId="0" applyBorder="1"/>
    <xf numFmtId="49" fontId="4" fillId="0" borderId="11" xfId="0" applyNumberFormat="1" applyFont="1" applyBorder="1" applyAlignment="1">
      <alignment horizontal="center" vertical="center"/>
    </xf>
    <xf numFmtId="49" fontId="0" fillId="0" borderId="4" xfId="0" applyNumberFormat="1" applyBorder="1" applyAlignment="1">
      <alignment horizontal="center" vertical="center"/>
    </xf>
    <xf numFmtId="49" fontId="4" fillId="0" borderId="4" xfId="0" applyNumberFormat="1" applyFont="1" applyBorder="1" applyAlignment="1">
      <alignment horizontal="center" vertical="center"/>
    </xf>
    <xf numFmtId="49" fontId="0" fillId="0" borderId="0" xfId="0" applyNumberFormat="1" applyAlignment="1">
      <alignment horizontal="center" vertical="center"/>
    </xf>
    <xf numFmtId="49" fontId="0" fillId="0" borderId="35" xfId="0" applyNumberFormat="1" applyBorder="1" applyAlignment="1">
      <alignment horizontal="center" vertical="center"/>
    </xf>
    <xf numFmtId="49" fontId="0" fillId="0" borderId="7" xfId="0" applyNumberFormat="1" applyBorder="1" applyAlignment="1">
      <alignment horizontal="center" vertical="center"/>
    </xf>
    <xf numFmtId="49" fontId="27" fillId="0" borderId="35" xfId="0" applyNumberFormat="1" applyFont="1" applyBorder="1" applyAlignment="1">
      <alignment horizontal="center" vertical="center" wrapText="1"/>
    </xf>
    <xf numFmtId="49" fontId="27" fillId="0" borderId="7" xfId="0" applyNumberFormat="1" applyFont="1" applyBorder="1" applyAlignment="1">
      <alignment horizontal="center" vertical="center" wrapText="1"/>
    </xf>
    <xf numFmtId="0" fontId="4" fillId="0" borderId="18" xfId="0" applyFont="1" applyBorder="1"/>
    <xf numFmtId="0" fontId="1" fillId="0" borderId="35" xfId="0" applyFont="1" applyBorder="1" applyAlignment="1">
      <alignment vertical="center" wrapText="1"/>
    </xf>
    <xf numFmtId="0" fontId="1" fillId="0" borderId="17" xfId="0" applyFont="1" applyBorder="1" applyAlignment="1">
      <alignment vertical="center" wrapText="1"/>
    </xf>
    <xf numFmtId="0" fontId="0" fillId="0" borderId="11" xfId="0" applyBorder="1"/>
    <xf numFmtId="0" fontId="1" fillId="0" borderId="0" xfId="0" applyFont="1" applyAlignment="1">
      <alignment horizontal="center"/>
    </xf>
    <xf numFmtId="49" fontId="4" fillId="0" borderId="21" xfId="0" applyNumberFormat="1" applyFont="1" applyBorder="1"/>
    <xf numFmtId="49" fontId="47" fillId="0" borderId="0" xfId="0" applyNumberFormat="1" applyFont="1" applyAlignment="1">
      <alignment horizontal="center" vertical="center"/>
    </xf>
    <xf numFmtId="0" fontId="0" fillId="0" borderId="7" xfId="0" applyBorder="1" applyAlignment="1">
      <alignment horizontal="left"/>
    </xf>
    <xf numFmtId="49" fontId="1" fillId="0" borderId="15" xfId="0" applyNumberFormat="1" applyFont="1" applyBorder="1"/>
    <xf numFmtId="49" fontId="4" fillId="0" borderId="11" xfId="0" applyNumberFormat="1" applyFont="1" applyBorder="1"/>
    <xf numFmtId="49" fontId="4" fillId="0" borderId="4" xfId="0" applyNumberFormat="1" applyFont="1" applyBorder="1"/>
    <xf numFmtId="0" fontId="3" fillId="0" borderId="70" xfId="0" applyFont="1" applyBorder="1"/>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49" fontId="4" fillId="0" borderId="18" xfId="0" applyNumberFormat="1" applyFont="1" applyBorder="1"/>
    <xf numFmtId="0" fontId="5" fillId="0" borderId="15" xfId="0" applyFont="1" applyBorder="1"/>
    <xf numFmtId="0" fontId="3" fillId="0" borderId="70" xfId="0" applyFont="1" applyBorder="1" applyAlignment="1">
      <alignment horizontal="center" vertical="center"/>
    </xf>
    <xf numFmtId="1" fontId="3" fillId="0" borderId="70" xfId="0" applyNumberFormat="1" applyFont="1" applyBorder="1"/>
    <xf numFmtId="1" fontId="3" fillId="0" borderId="9" xfId="0" applyNumberFormat="1" applyFont="1" applyBorder="1"/>
    <xf numFmtId="0" fontId="1" fillId="0" borderId="12" xfId="0" applyFont="1" applyBorder="1" applyAlignment="1">
      <alignment horizontal="center" vertical="center" wrapText="1"/>
    </xf>
    <xf numFmtId="0" fontId="1" fillId="0" borderId="17" xfId="0" applyFont="1" applyBorder="1" applyAlignment="1">
      <alignment horizontal="center" vertical="center" wrapText="1"/>
    </xf>
    <xf numFmtId="0" fontId="5" fillId="0" borderId="5" xfId="0" applyFont="1" applyBorder="1" applyAlignment="1">
      <alignment horizontal="center" vertical="center" wrapText="1"/>
    </xf>
    <xf numFmtId="0" fontId="48" fillId="0" borderId="14" xfId="0" applyFont="1" applyBorder="1" applyAlignment="1">
      <alignment wrapText="1"/>
    </xf>
    <xf numFmtId="0" fontId="48" fillId="0" borderId="0" xfId="0" applyFont="1" applyAlignment="1">
      <alignment wrapText="1"/>
    </xf>
    <xf numFmtId="0" fontId="48" fillId="0" borderId="37" xfId="0" applyFont="1" applyBorder="1" applyAlignment="1">
      <alignment wrapText="1"/>
    </xf>
    <xf numFmtId="0" fontId="0" fillId="0" borderId="23" xfId="0" applyBorder="1" applyAlignment="1">
      <alignment horizontal="center" vertical="center"/>
    </xf>
    <xf numFmtId="0" fontId="1" fillId="0" borderId="4" xfId="0" applyFont="1" applyBorder="1" applyAlignment="1">
      <alignment horizontal="center" vertical="center" wrapText="1"/>
    </xf>
    <xf numFmtId="0" fontId="47" fillId="0" borderId="0" xfId="0" applyFont="1" applyAlignment="1">
      <alignment horizontal="left"/>
    </xf>
    <xf numFmtId="0" fontId="47"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xf>
    <xf numFmtId="0" fontId="44" fillId="0" borderId="0" xfId="0" applyFont="1" applyAlignment="1">
      <alignment horizontal="left"/>
    </xf>
    <xf numFmtId="49" fontId="0" fillId="0" borderId="0" xfId="0" applyNumberFormat="1"/>
    <xf numFmtId="0" fontId="1" fillId="0" borderId="0" xfId="0" applyFont="1" applyAlignment="1">
      <alignment readingOrder="2"/>
    </xf>
    <xf numFmtId="0" fontId="1" fillId="0" borderId="15" xfId="0" applyFont="1" applyBorder="1" applyAlignment="1">
      <alignment readingOrder="2"/>
    </xf>
    <xf numFmtId="0" fontId="0" fillId="0" borderId="48" xfId="0" applyBorder="1"/>
    <xf numFmtId="0" fontId="4" fillId="0" borderId="0" xfId="0" applyFont="1"/>
    <xf numFmtId="0" fontId="4" fillId="0" borderId="11" xfId="0" applyFont="1" applyBorder="1" applyAlignment="1">
      <alignment wrapText="1"/>
    </xf>
    <xf numFmtId="0" fontId="4" fillId="0" borderId="4" xfId="0" applyFont="1" applyBorder="1" applyAlignment="1">
      <alignment wrapText="1"/>
    </xf>
    <xf numFmtId="0" fontId="4" fillId="0" borderId="0" xfId="0" applyFont="1" applyAlignment="1">
      <alignment wrapText="1"/>
    </xf>
    <xf numFmtId="0" fontId="4" fillId="0" borderId="18" xfId="0" applyFont="1" applyBorder="1" applyAlignment="1">
      <alignment horizontal="center" vertical="center"/>
    </xf>
    <xf numFmtId="0" fontId="4" fillId="0" borderId="21" xfId="0" applyFont="1" applyBorder="1" applyAlignment="1">
      <alignment horizontal="center" vertical="center"/>
    </xf>
    <xf numFmtId="0" fontId="4" fillId="2" borderId="18" xfId="0" applyFont="1" applyFill="1" applyBorder="1" applyAlignment="1">
      <alignment horizontal="center" vertical="center"/>
    </xf>
    <xf numFmtId="0" fontId="11" fillId="0" borderId="38" xfId="0" applyFont="1" applyBorder="1" applyAlignment="1">
      <alignment horizontal="center" vertical="center" wrapText="1"/>
    </xf>
    <xf numFmtId="1" fontId="3" fillId="0" borderId="4" xfId="0" applyNumberFormat="1" applyFont="1" applyBorder="1"/>
    <xf numFmtId="0" fontId="0" fillId="0" borderId="8" xfId="0" applyBorder="1"/>
    <xf numFmtId="0" fontId="0" fillId="0" borderId="8" xfId="0" applyBorder="1" applyAlignment="1">
      <alignment horizontal="center" vertical="center"/>
    </xf>
    <xf numFmtId="0" fontId="1" fillId="0" borderId="0" xfId="0" applyFont="1" applyAlignment="1">
      <alignment vertical="center" wrapText="1"/>
    </xf>
    <xf numFmtId="0" fontId="1" fillId="0" borderId="32" xfId="0" applyFont="1" applyBorder="1" applyAlignment="1">
      <alignment vertical="center" wrapText="1"/>
    </xf>
    <xf numFmtId="0" fontId="5" fillId="0" borderId="4" xfId="0" applyFont="1" applyBorder="1" applyAlignment="1">
      <alignment horizontal="center" vertical="center" wrapText="1"/>
    </xf>
    <xf numFmtId="0" fontId="3" fillId="0" borderId="4" xfId="0" applyFont="1" applyBorder="1" applyAlignment="1">
      <alignment horizontal="center" vertical="center"/>
    </xf>
    <xf numFmtId="0" fontId="4" fillId="0" borderId="22" xfId="0" applyFont="1" applyBorder="1" applyAlignment="1">
      <alignment horizontal="center"/>
    </xf>
    <xf numFmtId="0" fontId="4" fillId="0" borderId="8" xfId="0" applyFont="1" applyBorder="1" applyAlignment="1">
      <alignment horizont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4" fillId="0" borderId="19" xfId="0" applyFont="1" applyBorder="1" applyAlignment="1">
      <alignment horizontal="center"/>
    </xf>
    <xf numFmtId="49" fontId="4" fillId="0" borderId="22" xfId="0" applyNumberFormat="1" applyFont="1" applyBorder="1" applyAlignment="1">
      <alignment horizontal="center"/>
    </xf>
    <xf numFmtId="49" fontId="4" fillId="0" borderId="8" xfId="0" applyNumberFormat="1"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24" xfId="0" applyBorder="1" applyAlignment="1">
      <alignment horizontal="center"/>
    </xf>
    <xf numFmtId="0" fontId="0" fillId="0" borderId="7" xfId="0" applyBorder="1" applyAlignment="1">
      <alignment horizontal="center"/>
    </xf>
    <xf numFmtId="49" fontId="4" fillId="0" borderId="21" xfId="0" applyNumberFormat="1" applyFont="1" applyBorder="1" applyAlignment="1">
      <alignment horizontal="center"/>
    </xf>
    <xf numFmtId="49" fontId="4" fillId="0" borderId="18" xfId="0" applyNumberFormat="1" applyFont="1" applyBorder="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5" fillId="0" borderId="20"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25"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2" fillId="0" borderId="1"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1" fillId="0" borderId="16"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4" fillId="0" borderId="21" xfId="0" applyFont="1" applyBorder="1" applyAlignment="1">
      <alignment horizontal="center"/>
    </xf>
    <xf numFmtId="0" fontId="4" fillId="0" borderId="18" xfId="0" applyFont="1" applyBorder="1" applyAlignment="1">
      <alignment horizontal="center"/>
    </xf>
    <xf numFmtId="0" fontId="4" fillId="0" borderId="70"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xf>
    <xf numFmtId="0" fontId="1" fillId="0" borderId="6"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26"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1" fillId="0" borderId="3" xfId="0" applyFont="1" applyBorder="1" applyAlignment="1">
      <alignment horizontal="center" vertical="center"/>
    </xf>
    <xf numFmtId="0" fontId="0" fillId="0" borderId="2" xfId="0" applyBorder="1" applyAlignment="1">
      <alignment horizontal="center" vertical="center"/>
    </xf>
    <xf numFmtId="165" fontId="0" fillId="0" borderId="2" xfId="0" applyNumberFormat="1" applyBorder="1" applyAlignment="1">
      <alignment horizontal="center"/>
    </xf>
    <xf numFmtId="165" fontId="0" fillId="0" borderId="3" xfId="0" applyNumberFormat="1" applyBorder="1" applyAlignment="1">
      <alignment horizontal="center"/>
    </xf>
    <xf numFmtId="0" fontId="0" fillId="0" borderId="1" xfId="0" applyBorder="1" applyAlignment="1">
      <alignment horizontal="center" wrapText="1"/>
    </xf>
    <xf numFmtId="0" fontId="0" fillId="0" borderId="3" xfId="0" applyBorder="1" applyAlignment="1">
      <alignment horizontal="center" wrapText="1"/>
    </xf>
    <xf numFmtId="0" fontId="4" fillId="0" borderId="4" xfId="0" applyFont="1" applyBorder="1" applyAlignment="1">
      <alignment horizontal="center"/>
    </xf>
    <xf numFmtId="0" fontId="5"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38" xfId="0" applyFont="1" applyBorder="1" applyAlignment="1">
      <alignment horizontal="center" vertical="center" wrapText="1"/>
    </xf>
    <xf numFmtId="0" fontId="4" fillId="0" borderId="70" xfId="0" applyFont="1" applyBorder="1" applyAlignment="1">
      <alignment horizontal="center" vertical="center" wrapText="1"/>
    </xf>
    <xf numFmtId="0" fontId="4" fillId="0" borderId="18"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7"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3" xfId="0" applyFont="1" applyBorder="1" applyAlignment="1">
      <alignment horizontal="center" vertical="center" wrapText="1"/>
    </xf>
    <xf numFmtId="0" fontId="1" fillId="0" borderId="24" xfId="0" applyFont="1" applyBorder="1" applyAlignment="1">
      <alignment horizontal="center" vertical="center" wrapText="1"/>
    </xf>
    <xf numFmtId="0" fontId="7" fillId="0" borderId="3"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24"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8" xfId="0" applyFont="1" applyBorder="1" applyAlignment="1">
      <alignment horizontal="center" vertical="center" wrapText="1"/>
    </xf>
    <xf numFmtId="0" fontId="47" fillId="0" borderId="14" xfId="0" applyFont="1" applyBorder="1" applyAlignment="1">
      <alignment horizontal="center" vertical="center" wrapText="1"/>
    </xf>
    <xf numFmtId="0" fontId="47" fillId="0" borderId="0" xfId="0" applyFont="1" applyAlignment="1">
      <alignment horizontal="center" vertical="center" wrapText="1"/>
    </xf>
    <xf numFmtId="0" fontId="47" fillId="0" borderId="37" xfId="0" applyFont="1" applyBorder="1" applyAlignment="1">
      <alignment horizontal="center" vertical="center" wrapText="1"/>
    </xf>
    <xf numFmtId="0" fontId="47" fillId="0" borderId="24" xfId="0" applyFont="1" applyBorder="1" applyAlignment="1">
      <alignment horizontal="center" vertical="center" wrapText="1"/>
    </xf>
    <xf numFmtId="0" fontId="47" fillId="0" borderId="7" xfId="0" applyFont="1" applyBorder="1" applyAlignment="1">
      <alignment horizontal="center" vertical="center" wrapText="1"/>
    </xf>
    <xf numFmtId="0" fontId="47" fillId="0" borderId="38" xfId="0" applyFont="1" applyBorder="1" applyAlignment="1">
      <alignment horizontal="center" vertical="center" wrapText="1"/>
    </xf>
    <xf numFmtId="0" fontId="7" fillId="0" borderId="1" xfId="0" applyFont="1" applyBorder="1" applyAlignment="1">
      <alignment horizontal="center" wrapText="1"/>
    </xf>
    <xf numFmtId="0" fontId="7" fillId="0" borderId="2" xfId="0" applyFont="1" applyBorder="1" applyAlignment="1">
      <alignment horizontal="center" wrapText="1"/>
    </xf>
    <xf numFmtId="0" fontId="7" fillId="0" borderId="3" xfId="0" applyFont="1" applyBorder="1" applyAlignment="1">
      <alignment horizontal="center" wrapText="1"/>
    </xf>
    <xf numFmtId="0" fontId="2" fillId="0" borderId="16" xfId="0" applyFont="1" applyBorder="1" applyAlignment="1">
      <alignment horizontal="center" wrapText="1"/>
    </xf>
    <xf numFmtId="0" fontId="2" fillId="0" borderId="35" xfId="0" applyFont="1" applyBorder="1" applyAlignment="1">
      <alignment horizontal="center" wrapText="1"/>
    </xf>
    <xf numFmtId="0" fontId="2" fillId="0" borderId="36" xfId="0" applyFont="1" applyBorder="1" applyAlignment="1">
      <alignment horizontal="center" wrapText="1"/>
    </xf>
    <xf numFmtId="0" fontId="2" fillId="0" borderId="14" xfId="0" applyFont="1" applyBorder="1" applyAlignment="1">
      <alignment horizontal="center" wrapText="1"/>
    </xf>
    <xf numFmtId="0" fontId="2" fillId="0" borderId="0" xfId="0" applyFont="1" applyAlignment="1">
      <alignment horizontal="center" wrapText="1"/>
    </xf>
    <xf numFmtId="0" fontId="2" fillId="0" borderId="37" xfId="0" applyFont="1" applyBorder="1" applyAlignment="1">
      <alignment horizontal="center" wrapText="1"/>
    </xf>
    <xf numFmtId="0" fontId="47" fillId="0" borderId="12" xfId="0" applyFont="1" applyBorder="1" applyAlignment="1">
      <alignment horizontal="center" wrapText="1"/>
    </xf>
    <xf numFmtId="0" fontId="47" fillId="0" borderId="31" xfId="0" applyFont="1" applyBorder="1" applyAlignment="1">
      <alignment horizontal="center" wrapText="1"/>
    </xf>
    <xf numFmtId="0" fontId="49" fillId="0" borderId="0" xfId="0" applyFont="1" applyAlignment="1">
      <alignment horizontal="center" wrapText="1"/>
    </xf>
    <xf numFmtId="0" fontId="0" fillId="0" borderId="70" xfId="0" applyBorder="1" applyAlignment="1">
      <alignment horizontal="center" vertical="center" wrapText="1"/>
    </xf>
    <xf numFmtId="0" fontId="0" fillId="0" borderId="18" xfId="0" applyBorder="1" applyAlignment="1">
      <alignment horizontal="center" vertical="center" wrapText="1"/>
    </xf>
    <xf numFmtId="0" fontId="3" fillId="0" borderId="70" xfId="0" applyFont="1" applyBorder="1" applyAlignment="1">
      <alignment horizontal="center"/>
    </xf>
    <xf numFmtId="0" fontId="3" fillId="0" borderId="69" xfId="0" applyFont="1" applyBorder="1" applyAlignment="1">
      <alignment horizontal="center"/>
    </xf>
    <xf numFmtId="0" fontId="3" fillId="0" borderId="18" xfId="0" applyFont="1" applyBorder="1" applyAlignment="1">
      <alignment horizont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xf>
    <xf numFmtId="0" fontId="1" fillId="0" borderId="22" xfId="0" applyFont="1" applyBorder="1" applyAlignment="1">
      <alignment horizontal="center"/>
    </xf>
    <xf numFmtId="0" fontId="1" fillId="0" borderId="4" xfId="0" applyFont="1" applyBorder="1" applyAlignment="1">
      <alignment horizontal="center" vertical="center"/>
    </xf>
    <xf numFmtId="0" fontId="1" fillId="0" borderId="22" xfId="0" applyFont="1" applyBorder="1" applyAlignment="1">
      <alignment horizontal="center" vertical="center"/>
    </xf>
    <xf numFmtId="0" fontId="5" fillId="0" borderId="4" xfId="0" applyFont="1" applyBorder="1" applyAlignment="1">
      <alignment horizontal="center" vertical="center" wrapText="1"/>
    </xf>
    <xf numFmtId="0" fontId="1" fillId="0" borderId="4" xfId="0" applyFont="1" applyBorder="1" applyAlignment="1">
      <alignment horizontal="center" vertical="center" wrapText="1"/>
    </xf>
    <xf numFmtId="0" fontId="3" fillId="0" borderId="4" xfId="0" applyFont="1" applyBorder="1" applyAlignment="1">
      <alignment horizontal="center"/>
    </xf>
    <xf numFmtId="0" fontId="0" fillId="0" borderId="4" xfId="0" applyBorder="1" applyAlignment="1">
      <alignment horizontal="center" vertical="center" wrapText="1"/>
    </xf>
    <xf numFmtId="0" fontId="7" fillId="0" borderId="14" xfId="0" applyFont="1" applyBorder="1" applyAlignment="1">
      <alignment horizontal="center" wrapText="1"/>
    </xf>
    <xf numFmtId="0" fontId="7" fillId="0" borderId="0" xfId="0" applyFont="1" applyAlignment="1">
      <alignment horizontal="center" wrapText="1"/>
    </xf>
    <xf numFmtId="0" fontId="7" fillId="0" borderId="37" xfId="0" applyFont="1" applyBorder="1" applyAlignment="1">
      <alignment horizontal="center" wrapText="1"/>
    </xf>
    <xf numFmtId="0" fontId="7" fillId="0" borderId="24" xfId="0" applyFont="1" applyBorder="1" applyAlignment="1">
      <alignment horizontal="center" wrapText="1"/>
    </xf>
    <xf numFmtId="0" fontId="7" fillId="0" borderId="7" xfId="0" applyFont="1" applyBorder="1" applyAlignment="1">
      <alignment horizontal="center" wrapText="1"/>
    </xf>
    <xf numFmtId="0" fontId="7" fillId="0" borderId="38" xfId="0" applyFont="1" applyBorder="1" applyAlignment="1">
      <alignment horizontal="center" wrapText="1"/>
    </xf>
    <xf numFmtId="0" fontId="7" fillId="0" borderId="0" xfId="0" applyFont="1" applyAlignment="1">
      <alignment horizontal="left" vertical="center"/>
    </xf>
    <xf numFmtId="0" fontId="47" fillId="0" borderId="0" xfId="0" applyFont="1" applyAlignment="1">
      <alignment horizontal="left"/>
    </xf>
    <xf numFmtId="0" fontId="0" fillId="0" borderId="0" xfId="0" applyAlignment="1">
      <alignment horizontal="left" wrapText="1"/>
    </xf>
    <xf numFmtId="0" fontId="2" fillId="0" borderId="0" xfId="0" applyFont="1" applyAlignment="1">
      <alignment horizontal="left"/>
    </xf>
    <xf numFmtId="0" fontId="0" fillId="0" borderId="0" xfId="0" applyAlignment="1">
      <alignment horizontal="left"/>
    </xf>
    <xf numFmtId="0" fontId="45" fillId="0" borderId="0" xfId="0" applyFont="1" applyAlignment="1">
      <alignment horizontal="left"/>
    </xf>
    <xf numFmtId="0" fontId="46" fillId="0" borderId="0" xfId="0" applyFont="1" applyAlignment="1">
      <alignment horizontal="center"/>
    </xf>
    <xf numFmtId="0" fontId="2" fillId="0" borderId="0" xfId="0" applyFont="1" applyAlignment="1">
      <alignment horizontal="center"/>
    </xf>
    <xf numFmtId="0" fontId="47" fillId="0" borderId="0" xfId="0" applyFont="1" applyAlignment="1">
      <alignment horizontal="center"/>
    </xf>
    <xf numFmtId="0" fontId="7" fillId="0" borderId="0" xfId="0" applyFont="1" applyAlignment="1">
      <alignment horizontal="center" vertical="center"/>
    </xf>
    <xf numFmtId="49" fontId="47" fillId="0" borderId="0" xfId="0" applyNumberFormat="1" applyFont="1" applyAlignment="1">
      <alignment horizontal="center" vertical="center"/>
    </xf>
    <xf numFmtId="0" fontId="47" fillId="0" borderId="0" xfId="0" applyFont="1" applyAlignment="1">
      <alignment horizontal="center" vertical="center"/>
    </xf>
    <xf numFmtId="49" fontId="47" fillId="0" borderId="0" xfId="0" applyNumberFormat="1" applyFont="1" applyAlignment="1">
      <alignment horizontal="center"/>
    </xf>
    <xf numFmtId="165" fontId="47" fillId="0" borderId="0" xfId="0" applyNumberFormat="1" applyFont="1" applyAlignment="1">
      <alignment horizontal="center"/>
    </xf>
    <xf numFmtId="0" fontId="44" fillId="0" borderId="0" xfId="0" applyFont="1" applyAlignment="1">
      <alignment horizontal="left"/>
    </xf>
    <xf numFmtId="0" fontId="11" fillId="0" borderId="35" xfId="0" applyFont="1" applyBorder="1" applyAlignment="1">
      <alignment horizontal="left" vertical="top" wrapText="1"/>
    </xf>
    <xf numFmtId="0" fontId="11" fillId="0" borderId="36" xfId="0" applyFont="1" applyBorder="1" applyAlignment="1">
      <alignment horizontal="left" vertical="top" wrapText="1"/>
    </xf>
    <xf numFmtId="0" fontId="11" fillId="0" borderId="0" xfId="0" applyFont="1" applyAlignment="1">
      <alignment horizontal="left" vertical="top" wrapText="1"/>
    </xf>
    <xf numFmtId="0" fontId="11" fillId="0" borderId="37" xfId="0" applyFont="1" applyBorder="1" applyAlignment="1">
      <alignment horizontal="left" vertical="top" wrapText="1"/>
    </xf>
    <xf numFmtId="0" fontId="11" fillId="0" borderId="7" xfId="0" applyFont="1" applyBorder="1" applyAlignment="1">
      <alignment horizontal="left" vertical="top" wrapText="1"/>
    </xf>
    <xf numFmtId="0" fontId="11" fillId="0" borderId="38" xfId="0" applyFont="1" applyBorder="1" applyAlignment="1">
      <alignment horizontal="left" vertical="top" wrapText="1"/>
    </xf>
    <xf numFmtId="0" fontId="11" fillId="0" borderId="14" xfId="0" applyFont="1" applyBorder="1" applyAlignment="1">
      <alignment horizontal="left" vertical="top" wrapText="1"/>
    </xf>
    <xf numFmtId="0" fontId="12" fillId="0" borderId="14" xfId="0" applyFont="1" applyBorder="1" applyAlignment="1">
      <alignment horizontal="left" vertical="top" wrapText="1"/>
    </xf>
    <xf numFmtId="0" fontId="12" fillId="0" borderId="0" xfId="0" applyFont="1" applyAlignment="1">
      <alignment horizontal="left" vertical="top" wrapText="1"/>
    </xf>
    <xf numFmtId="0" fontId="12" fillId="0" borderId="37" xfId="0" applyFont="1" applyBorder="1" applyAlignment="1">
      <alignment horizontal="left" vertical="top" wrapText="1"/>
    </xf>
    <xf numFmtId="0" fontId="12" fillId="0" borderId="24" xfId="0" applyFont="1" applyBorder="1" applyAlignment="1">
      <alignment horizontal="left" vertical="top" wrapText="1"/>
    </xf>
    <xf numFmtId="0" fontId="12" fillId="0" borderId="7" xfId="0" applyFont="1" applyBorder="1" applyAlignment="1">
      <alignment horizontal="left" vertical="top" wrapText="1"/>
    </xf>
    <xf numFmtId="0" fontId="12" fillId="0" borderId="38" xfId="0" applyFont="1" applyBorder="1" applyAlignment="1">
      <alignment horizontal="left" vertical="top" wrapText="1"/>
    </xf>
    <xf numFmtId="0" fontId="41" fillId="0" borderId="0" xfId="0" applyFont="1" applyAlignment="1">
      <alignment horizontal="center" vertical="center"/>
    </xf>
    <xf numFmtId="0" fontId="26" fillId="0" borderId="16" xfId="0" applyFont="1" applyBorder="1" applyAlignment="1">
      <alignment horizontal="left" vertical="top" wrapText="1"/>
    </xf>
    <xf numFmtId="0" fontId="26" fillId="0" borderId="35" xfId="0" applyFont="1" applyBorder="1" applyAlignment="1">
      <alignment horizontal="left" vertical="top" wrapText="1"/>
    </xf>
    <xf numFmtId="0" fontId="26" fillId="0" borderId="36" xfId="0" applyFont="1" applyBorder="1" applyAlignment="1">
      <alignment horizontal="left" vertical="top" wrapText="1"/>
    </xf>
    <xf numFmtId="0" fontId="26" fillId="0" borderId="24" xfId="0" applyFont="1" applyBorder="1" applyAlignment="1">
      <alignment horizontal="left" vertical="top" wrapText="1"/>
    </xf>
    <xf numFmtId="0" fontId="26" fillId="0" borderId="7" xfId="0" applyFont="1" applyBorder="1" applyAlignment="1">
      <alignment horizontal="left" vertical="top" wrapText="1"/>
    </xf>
    <xf numFmtId="0" fontId="26" fillId="0" borderId="38" xfId="0" applyFont="1" applyBorder="1" applyAlignment="1">
      <alignment horizontal="left" vertical="top"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12" fillId="0" borderId="16" xfId="0" applyFont="1" applyBorder="1" applyAlignment="1">
      <alignment horizontal="left" vertical="top" wrapText="1"/>
    </xf>
    <xf numFmtId="0" fontId="12" fillId="0" borderId="36" xfId="0" applyFont="1" applyBorder="1" applyAlignment="1">
      <alignment horizontal="left" vertical="top" wrapText="1"/>
    </xf>
    <xf numFmtId="0" fontId="11" fillId="0" borderId="16" xfId="0" applyFont="1" applyBorder="1" applyAlignment="1">
      <alignment horizontal="left" vertical="top" wrapText="1"/>
    </xf>
    <xf numFmtId="0" fontId="14" fillId="0" borderId="24"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38"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38" xfId="0" applyFont="1" applyBorder="1" applyAlignment="1">
      <alignment horizontal="center" vertical="center" wrapText="1"/>
    </xf>
    <xf numFmtId="0" fontId="12" fillId="0" borderId="12" xfId="0" applyFont="1" applyBorder="1" applyAlignment="1">
      <alignment horizontal="left" vertical="top" wrapText="1"/>
    </xf>
    <xf numFmtId="0" fontId="12" fillId="0" borderId="23" xfId="0" applyFont="1" applyBorder="1" applyAlignment="1">
      <alignment horizontal="left" vertical="top" wrapText="1"/>
    </xf>
    <xf numFmtId="0" fontId="13" fillId="0" borderId="16" xfId="0" applyFont="1" applyBorder="1" applyAlignment="1">
      <alignment horizontal="left" vertical="top" wrapText="1"/>
    </xf>
    <xf numFmtId="0" fontId="13" fillId="0" borderId="36" xfId="0" applyFont="1" applyBorder="1" applyAlignment="1">
      <alignment horizontal="left" vertical="top" wrapText="1"/>
    </xf>
    <xf numFmtId="0" fontId="13" fillId="0" borderId="24" xfId="0" applyFont="1" applyBorder="1" applyAlignment="1">
      <alignment horizontal="left" vertical="top" wrapText="1"/>
    </xf>
    <xf numFmtId="0" fontId="13" fillId="0" borderId="38" xfId="0" applyFont="1" applyBorder="1" applyAlignment="1">
      <alignment horizontal="left" vertical="top" wrapText="1"/>
    </xf>
    <xf numFmtId="0" fontId="11" fillId="0" borderId="12" xfId="0" applyFont="1" applyBorder="1" applyAlignment="1">
      <alignment horizontal="left" vertical="top" wrapText="1"/>
    </xf>
    <xf numFmtId="0" fontId="11" fillId="0" borderId="23" xfId="0" applyFont="1" applyBorder="1" applyAlignment="1">
      <alignment horizontal="left" vertical="top" wrapText="1"/>
    </xf>
    <xf numFmtId="0" fontId="22" fillId="0" borderId="1" xfId="0" applyFont="1" applyBorder="1" applyAlignment="1">
      <alignment horizontal="center" vertical="center" wrapText="1"/>
    </xf>
    <xf numFmtId="0" fontId="22" fillId="0" borderId="3" xfId="0" applyFont="1" applyBorder="1" applyAlignment="1">
      <alignment horizontal="center" vertical="center" wrapText="1"/>
    </xf>
    <xf numFmtId="0" fontId="18" fillId="0" borderId="24" xfId="0" applyFont="1" applyBorder="1" applyAlignment="1">
      <alignment horizontal="left" vertical="center" wrapText="1"/>
    </xf>
    <xf numFmtId="0" fontId="18" fillId="0" borderId="38" xfId="0" applyFont="1" applyBorder="1" applyAlignment="1">
      <alignment horizontal="left" vertical="center" wrapText="1"/>
    </xf>
    <xf numFmtId="0" fontId="18" fillId="0" borderId="1" xfId="0" applyFont="1" applyBorder="1" applyAlignment="1">
      <alignment horizontal="center" vertical="center" wrapText="1"/>
    </xf>
    <xf numFmtId="0" fontId="18" fillId="0" borderId="3" xfId="0" applyFont="1" applyBorder="1" applyAlignment="1">
      <alignment horizontal="center" vertical="center" wrapText="1"/>
    </xf>
    <xf numFmtId="0" fontId="11" fillId="0" borderId="1"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41" fillId="0" borderId="0" xfId="0" applyFont="1" applyAlignment="1">
      <alignment horizontal="center" vertical="center" wrapText="1"/>
    </xf>
    <xf numFmtId="0" fontId="28" fillId="0" borderId="35" xfId="0" applyFont="1" applyBorder="1" applyAlignment="1">
      <alignment horizontal="center" vertical="center" wrapText="1"/>
    </xf>
    <xf numFmtId="0" fontId="28" fillId="0" borderId="36" xfId="0" applyFont="1" applyBorder="1" applyAlignment="1">
      <alignment horizontal="center" vertical="center" wrapText="1"/>
    </xf>
    <xf numFmtId="49" fontId="0" fillId="0" borderId="16" xfId="0" applyNumberFormat="1" applyBorder="1" applyAlignment="1">
      <alignment horizontal="center" vertical="center"/>
    </xf>
    <xf numFmtId="49" fontId="0" fillId="0" borderId="35" xfId="0" applyNumberFormat="1" applyBorder="1" applyAlignment="1">
      <alignment horizontal="center" vertical="center"/>
    </xf>
    <xf numFmtId="49" fontId="0" fillId="0" borderId="24" xfId="0" applyNumberFormat="1" applyBorder="1" applyAlignment="1">
      <alignment horizontal="center" vertical="center"/>
    </xf>
    <xf numFmtId="49" fontId="0" fillId="0" borderId="7" xfId="0" applyNumberFormat="1" applyBorder="1" applyAlignment="1">
      <alignment horizontal="center" vertical="center"/>
    </xf>
    <xf numFmtId="49" fontId="0" fillId="0" borderId="36" xfId="0" applyNumberFormat="1" applyBorder="1" applyAlignment="1">
      <alignment horizontal="center" vertical="center"/>
    </xf>
    <xf numFmtId="49" fontId="0" fillId="0" borderId="38" xfId="0" applyNumberFormat="1" applyBorder="1" applyAlignment="1">
      <alignment horizontal="center" vertical="center"/>
    </xf>
    <xf numFmtId="49" fontId="0" fillId="0" borderId="12" xfId="0" applyNumberFormat="1" applyBorder="1" applyAlignment="1">
      <alignment horizontal="center" vertical="center" wrapText="1"/>
    </xf>
    <xf numFmtId="49" fontId="0" fillId="0" borderId="23" xfId="0" applyNumberFormat="1" applyBorder="1" applyAlignment="1">
      <alignment horizontal="center" vertical="center" wrapText="1"/>
    </xf>
    <xf numFmtId="0" fontId="0" fillId="0" borderId="12" xfId="0" applyBorder="1" applyAlignment="1">
      <alignment horizontal="center" vertical="center"/>
    </xf>
    <xf numFmtId="0" fontId="0" fillId="0" borderId="23" xfId="0" applyBorder="1" applyAlignment="1">
      <alignment horizontal="center" vertical="center"/>
    </xf>
    <xf numFmtId="0" fontId="0" fillId="0" borderId="16" xfId="0" applyBorder="1" applyAlignment="1">
      <alignment horizontal="center" vertical="center"/>
    </xf>
    <xf numFmtId="0" fontId="0" fillId="0" borderId="36" xfId="0" applyBorder="1" applyAlignment="1">
      <alignment horizontal="center" vertical="center"/>
    </xf>
    <xf numFmtId="0" fontId="0" fillId="0" borderId="24" xfId="0" applyBorder="1" applyAlignment="1">
      <alignment horizontal="center" vertical="center"/>
    </xf>
    <xf numFmtId="0" fontId="0" fillId="0" borderId="38" xfId="0" applyBorder="1" applyAlignment="1">
      <alignment horizontal="center" vertical="center"/>
    </xf>
    <xf numFmtId="0" fontId="12" fillId="0" borderId="31" xfId="0" applyFont="1" applyBorder="1" applyAlignment="1">
      <alignment horizontal="left" vertical="top" wrapText="1"/>
    </xf>
    <xf numFmtId="0" fontId="11" fillId="0" borderId="31" xfId="0" applyFont="1" applyBorder="1" applyAlignment="1">
      <alignment horizontal="left" vertical="top" wrapText="1"/>
    </xf>
    <xf numFmtId="0" fontId="41" fillId="0" borderId="0" xfId="0" applyFont="1" applyAlignment="1">
      <alignment horizontal="center"/>
    </xf>
    <xf numFmtId="0" fontId="12" fillId="0" borderId="2" xfId="0" applyFont="1" applyBorder="1" applyAlignment="1">
      <alignment horizontal="left" vertical="top" wrapText="1"/>
    </xf>
    <xf numFmtId="0" fontId="12" fillId="0" borderId="3" xfId="0" applyFont="1" applyBorder="1" applyAlignment="1">
      <alignment horizontal="left" vertical="top" wrapText="1"/>
    </xf>
    <xf numFmtId="0" fontId="12" fillId="0" borderId="1" xfId="0" applyFont="1" applyBorder="1" applyAlignment="1">
      <alignment horizontal="center" vertical="center" wrapText="1"/>
    </xf>
    <xf numFmtId="0" fontId="12" fillId="0" borderId="2" xfId="0" applyFont="1" applyBorder="1" applyAlignment="1">
      <alignment horizontal="center" vertical="center" wrapText="1"/>
    </xf>
    <xf numFmtId="0" fontId="26" fillId="0" borderId="2" xfId="0" applyFont="1" applyBorder="1" applyAlignment="1">
      <alignment horizontal="left" vertical="top" wrapText="1"/>
    </xf>
    <xf numFmtId="0" fontId="26" fillId="0" borderId="3" xfId="0" applyFont="1" applyBorder="1" applyAlignment="1">
      <alignment horizontal="left" vertical="top" wrapText="1"/>
    </xf>
    <xf numFmtId="164" fontId="11" fillId="0" borderId="1" xfId="0" applyNumberFormat="1" applyFont="1" applyBorder="1" applyAlignment="1">
      <alignment horizontal="center" vertical="center" wrapText="1"/>
    </xf>
    <xf numFmtId="164" fontId="11" fillId="0" borderId="2" xfId="0" applyNumberFormat="1" applyFont="1" applyBorder="1" applyAlignment="1">
      <alignment horizontal="center" vertical="center" wrapText="1"/>
    </xf>
    <xf numFmtId="0" fontId="11" fillId="0" borderId="2" xfId="0" applyFont="1" applyBorder="1" applyAlignment="1">
      <alignment horizontal="left" vertical="top" wrapText="1"/>
    </xf>
    <xf numFmtId="0" fontId="11" fillId="0" borderId="3" xfId="0" applyFont="1" applyBorder="1" applyAlignment="1">
      <alignment horizontal="left" vertical="top" wrapText="1"/>
    </xf>
    <xf numFmtId="164" fontId="0" fillId="0" borderId="1" xfId="0" applyNumberFormat="1" applyBorder="1" applyAlignment="1">
      <alignment horizontal="center"/>
    </xf>
    <xf numFmtId="164" fontId="0" fillId="0" borderId="2" xfId="0" applyNumberFormat="1" applyBorder="1" applyAlignment="1">
      <alignment horizontal="center"/>
    </xf>
    <xf numFmtId="0" fontId="11" fillId="0" borderId="1" xfId="0" applyFont="1" applyBorder="1" applyAlignment="1">
      <alignment horizontal="left" vertical="top" wrapText="1"/>
    </xf>
    <xf numFmtId="0" fontId="11" fillId="0" borderId="16" xfId="0" applyFont="1" applyBorder="1" applyAlignment="1">
      <alignment horizontal="center" vertical="center" wrapText="1"/>
    </xf>
    <xf numFmtId="0" fontId="11" fillId="0" borderId="35" xfId="0" applyFont="1" applyBorder="1" applyAlignment="1">
      <alignment horizontal="center" vertical="center" wrapText="1"/>
    </xf>
    <xf numFmtId="0" fontId="22" fillId="0" borderId="4" xfId="0" applyFont="1" applyBorder="1" applyAlignment="1">
      <alignment horizontal="center" vertical="center" wrapText="1"/>
    </xf>
    <xf numFmtId="0" fontId="19" fillId="0" borderId="4" xfId="0" applyFont="1" applyBorder="1" applyAlignment="1">
      <alignment horizontal="center" vertical="center" wrapText="1"/>
    </xf>
    <xf numFmtId="0" fontId="22" fillId="0" borderId="45" xfId="0" applyFont="1" applyBorder="1" applyAlignment="1">
      <alignment horizontal="left" vertical="center" wrapText="1"/>
    </xf>
    <xf numFmtId="0" fontId="22" fillId="0" borderId="46" xfId="0" applyFont="1" applyBorder="1" applyAlignment="1">
      <alignment horizontal="left" vertical="center" wrapText="1"/>
    </xf>
    <xf numFmtId="0" fontId="22" fillId="0" borderId="46"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47" xfId="0" applyFont="1" applyBorder="1" applyAlignment="1">
      <alignment horizontal="center" vertical="center" wrapText="1"/>
    </xf>
    <xf numFmtId="0" fontId="22" fillId="0" borderId="42" xfId="0" applyFont="1" applyBorder="1" applyAlignment="1">
      <alignment horizontal="left" vertical="center" wrapText="1"/>
    </xf>
    <xf numFmtId="0" fontId="22" fillId="0" borderId="4" xfId="0" applyFont="1" applyBorder="1" applyAlignment="1">
      <alignment horizontal="left" vertical="center" wrapText="1"/>
    </xf>
    <xf numFmtId="0" fontId="25" fillId="0" borderId="4" xfId="0" applyFont="1" applyBorder="1" applyAlignment="1">
      <alignment horizontal="center" vertical="center" wrapText="1"/>
    </xf>
    <xf numFmtId="0" fontId="25" fillId="0" borderId="43" xfId="0" applyFont="1" applyBorder="1" applyAlignment="1">
      <alignment horizontal="center" vertical="center" wrapText="1"/>
    </xf>
    <xf numFmtId="0" fontId="19" fillId="0" borderId="46" xfId="0" applyFont="1" applyBorder="1" applyAlignment="1">
      <alignment horizontal="center" vertical="center" wrapText="1"/>
    </xf>
    <xf numFmtId="0" fontId="12" fillId="0" borderId="40" xfId="0" applyFont="1" applyBorder="1" applyAlignment="1">
      <alignment vertical="top" wrapText="1"/>
    </xf>
    <xf numFmtId="0" fontId="12" fillId="0" borderId="41" xfId="0" applyFont="1" applyBorder="1" applyAlignment="1">
      <alignment vertical="top" wrapText="1"/>
    </xf>
    <xf numFmtId="0" fontId="0" fillId="0" borderId="22" xfId="0" applyBorder="1" applyAlignment="1">
      <alignment horizontal="center"/>
    </xf>
    <xf numFmtId="0" fontId="0" fillId="0" borderId="8" xfId="0" applyBorder="1" applyAlignment="1">
      <alignment horizontal="center"/>
    </xf>
    <xf numFmtId="0" fontId="0" fillId="0" borderId="44" xfId="0" applyBorder="1" applyAlignment="1">
      <alignment horizontal="center"/>
    </xf>
    <xf numFmtId="0" fontId="23" fillId="0" borderId="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36" xfId="0" applyFont="1" applyBorder="1" applyAlignment="1">
      <alignment horizontal="center" vertical="center" wrapText="1"/>
    </xf>
    <xf numFmtId="0" fontId="24" fillId="0" borderId="39" xfId="0" applyFont="1" applyBorder="1" applyAlignment="1">
      <alignment vertical="top" wrapText="1"/>
    </xf>
    <xf numFmtId="0" fontId="24" fillId="0" borderId="40" xfId="0" applyFont="1" applyBorder="1" applyAlignment="1">
      <alignment vertical="top" wrapText="1"/>
    </xf>
    <xf numFmtId="0" fontId="29" fillId="0" borderId="0" xfId="0" applyFont="1" applyAlignment="1">
      <alignment horizontal="center" vertical="center" wrapText="1"/>
    </xf>
    <xf numFmtId="0" fontId="29" fillId="0" borderId="37" xfId="0" applyFont="1" applyBorder="1" applyAlignment="1">
      <alignment horizontal="center" vertical="center" wrapText="1"/>
    </xf>
    <xf numFmtId="0" fontId="21" fillId="0" borderId="14" xfId="0" applyFont="1" applyBorder="1" applyAlignment="1">
      <alignment horizontal="center" vertical="center" wrapText="1"/>
    </xf>
    <xf numFmtId="0" fontId="21" fillId="0" borderId="37" xfId="0" applyFont="1" applyBorder="1" applyAlignment="1">
      <alignment horizontal="center" vertical="center" wrapText="1"/>
    </xf>
    <xf numFmtId="0" fontId="30" fillId="0" borderId="24" xfId="0" applyFont="1" applyBorder="1" applyAlignment="1">
      <alignment horizontal="center" vertical="center"/>
    </xf>
    <xf numFmtId="0" fontId="30" fillId="0" borderId="38" xfId="0" applyFont="1" applyBorder="1" applyAlignment="1">
      <alignment horizontal="center" vertical="center"/>
    </xf>
    <xf numFmtId="0" fontId="21" fillId="0" borderId="0" xfId="0" applyFont="1" applyAlignment="1">
      <alignment horizontal="center" vertical="center" wrapText="1"/>
    </xf>
    <xf numFmtId="0" fontId="21" fillId="0" borderId="24"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7" xfId="0" applyFont="1" applyBorder="1" applyAlignment="1">
      <alignment horizontal="center" vertical="center" wrapText="1"/>
    </xf>
    <xf numFmtId="0" fontId="12" fillId="0" borderId="35" xfId="0" applyFont="1" applyBorder="1" applyAlignment="1">
      <alignment horizontal="left" vertical="top" wrapText="1"/>
    </xf>
    <xf numFmtId="0" fontId="11" fillId="0" borderId="16" xfId="0" applyFont="1" applyBorder="1" applyAlignment="1">
      <alignment horizontal="left" vertical="center" wrapText="1"/>
    </xf>
    <xf numFmtId="0" fontId="11" fillId="0" borderId="35" xfId="0" applyFont="1" applyBorder="1" applyAlignment="1">
      <alignment horizontal="left" vertical="center" wrapText="1"/>
    </xf>
    <xf numFmtId="0" fontId="11" fillId="0" borderId="36" xfId="0" applyFont="1" applyBorder="1" applyAlignment="1">
      <alignment horizontal="left" vertical="center" wrapText="1"/>
    </xf>
    <xf numFmtId="0" fontId="11" fillId="0" borderId="24" xfId="0" applyFont="1" applyBorder="1" applyAlignment="1">
      <alignment horizontal="left" vertical="center" wrapText="1"/>
    </xf>
    <xf numFmtId="0" fontId="11" fillId="0" borderId="7" xfId="0" applyFont="1" applyBorder="1" applyAlignment="1">
      <alignment horizontal="left" vertical="center" wrapText="1"/>
    </xf>
    <xf numFmtId="0" fontId="11" fillId="0" borderId="38" xfId="0" applyFont="1" applyBorder="1" applyAlignment="1">
      <alignment horizontal="left" vertical="center" wrapText="1"/>
    </xf>
    <xf numFmtId="0" fontId="12" fillId="0" borderId="0" xfId="0" applyFont="1" applyAlignment="1">
      <alignment horizontal="center" vertical="center" wrapText="1"/>
    </xf>
    <xf numFmtId="0" fontId="12" fillId="0" borderId="7" xfId="0" applyFont="1" applyBorder="1" applyAlignment="1">
      <alignment horizontal="center" vertical="center" wrapText="1"/>
    </xf>
    <xf numFmtId="0" fontId="11" fillId="0" borderId="0" xfId="0" applyFont="1" applyAlignment="1">
      <alignment horizontal="center" vertical="center" wrapText="1"/>
    </xf>
    <xf numFmtId="0" fontId="12" fillId="0" borderId="1"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27" fillId="0" borderId="16" xfId="0" applyFont="1" applyBorder="1" applyAlignment="1">
      <alignment vertical="center" wrapText="1"/>
    </xf>
    <xf numFmtId="0" fontId="27" fillId="0" borderId="35" xfId="0" applyFont="1" applyBorder="1" applyAlignment="1">
      <alignment vertical="center" wrapText="1"/>
    </xf>
    <xf numFmtId="0" fontId="27" fillId="0" borderId="36" xfId="0" applyFont="1" applyBorder="1" applyAlignment="1">
      <alignment vertical="center" wrapText="1"/>
    </xf>
    <xf numFmtId="0" fontId="27" fillId="0" borderId="14" xfId="0" applyFont="1" applyBorder="1" applyAlignment="1">
      <alignment vertical="center" wrapText="1"/>
    </xf>
    <xf numFmtId="0" fontId="27" fillId="0" borderId="0" xfId="0" applyFont="1" applyAlignment="1">
      <alignment vertical="center" wrapText="1"/>
    </xf>
    <xf numFmtId="0" fontId="27" fillId="0" borderId="37" xfId="0" applyFont="1" applyBorder="1" applyAlignment="1">
      <alignment vertical="center" wrapText="1"/>
    </xf>
    <xf numFmtId="0" fontId="27" fillId="0" borderId="24" xfId="0" applyFont="1" applyBorder="1" applyAlignment="1">
      <alignment vertical="center" wrapText="1"/>
    </xf>
    <xf numFmtId="0" fontId="27" fillId="0" borderId="7" xfId="0" applyFont="1" applyBorder="1" applyAlignment="1">
      <alignment vertical="center" wrapText="1"/>
    </xf>
    <xf numFmtId="0" fontId="27" fillId="0" borderId="38" xfId="0" applyFont="1" applyBorder="1" applyAlignment="1">
      <alignment vertical="center" wrapText="1"/>
    </xf>
    <xf numFmtId="0" fontId="8" fillId="0" borderId="14" xfId="0" applyFont="1" applyBorder="1" applyAlignment="1">
      <alignment vertical="center" wrapText="1"/>
    </xf>
    <xf numFmtId="49" fontId="21" fillId="0" borderId="24" xfId="0" applyNumberFormat="1" applyFont="1" applyBorder="1" applyAlignment="1">
      <alignment horizontal="center" vertical="center" wrapText="1"/>
    </xf>
    <xf numFmtId="49" fontId="21" fillId="0" borderId="38" xfId="0" applyNumberFormat="1" applyFont="1" applyBorder="1" applyAlignment="1">
      <alignment horizontal="center" vertical="center" wrapText="1"/>
    </xf>
    <xf numFmtId="0" fontId="26" fillId="0" borderId="16" xfId="0" applyFont="1" applyBorder="1" applyAlignment="1">
      <alignment vertical="center" wrapText="1"/>
    </xf>
    <xf numFmtId="0" fontId="26" fillId="0" borderId="35" xfId="0" applyFont="1" applyBorder="1" applyAlignment="1">
      <alignment vertical="center" wrapText="1"/>
    </xf>
    <xf numFmtId="0" fontId="26" fillId="0" borderId="36" xfId="0" applyFont="1" applyBorder="1" applyAlignment="1">
      <alignment vertical="center" wrapText="1"/>
    </xf>
    <xf numFmtId="0" fontId="26" fillId="0" borderId="24" xfId="0" applyFont="1" applyBorder="1" applyAlignment="1">
      <alignment vertical="center" wrapText="1"/>
    </xf>
    <xf numFmtId="0" fontId="26" fillId="0" borderId="7" xfId="0" applyFont="1" applyBorder="1" applyAlignment="1">
      <alignment vertical="center" wrapText="1"/>
    </xf>
    <xf numFmtId="0" fontId="26" fillId="0" borderId="38" xfId="0" applyFont="1" applyBorder="1" applyAlignment="1">
      <alignment vertical="center" wrapText="1"/>
    </xf>
    <xf numFmtId="0" fontId="11" fillId="0" borderId="12" xfId="0" applyFont="1" applyBorder="1" applyAlignment="1">
      <alignment horizontal="left" vertical="center" wrapText="1"/>
    </xf>
    <xf numFmtId="0" fontId="11" fillId="0" borderId="23" xfId="0" applyFont="1" applyBorder="1" applyAlignment="1">
      <alignment horizontal="left" vertical="center" wrapText="1"/>
    </xf>
    <xf numFmtId="0" fontId="22" fillId="0" borderId="1" xfId="0" applyFont="1" applyBorder="1" applyAlignment="1">
      <alignment horizontal="left" vertical="center" wrapText="1"/>
    </xf>
    <xf numFmtId="0" fontId="22" fillId="0" borderId="3" xfId="0" applyFont="1" applyBorder="1" applyAlignment="1">
      <alignment horizontal="left" vertical="center" wrapText="1"/>
    </xf>
    <xf numFmtId="0" fontId="19" fillId="0" borderId="14" xfId="0" applyFont="1" applyBorder="1" applyAlignment="1">
      <alignment horizontal="center" vertical="center" wrapText="1"/>
    </xf>
    <xf numFmtId="0" fontId="19" fillId="0" borderId="38"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38" xfId="0" applyFont="1" applyBorder="1" applyAlignment="1">
      <alignment horizontal="center" vertical="center" wrapText="1"/>
    </xf>
    <xf numFmtId="0" fontId="11" fillId="0" borderId="14" xfId="0" applyFont="1" applyBorder="1" applyAlignment="1">
      <alignment horizontal="left" vertical="center" wrapText="1"/>
    </xf>
    <xf numFmtId="0" fontId="11" fillId="0" borderId="36" xfId="0" applyFont="1" applyBorder="1" applyAlignment="1">
      <alignment vertical="top" wrapText="1"/>
    </xf>
    <xf numFmtId="0" fontId="11" fillId="0" borderId="37" xfId="0" applyFont="1" applyBorder="1" applyAlignment="1">
      <alignment vertical="top" wrapText="1"/>
    </xf>
    <xf numFmtId="0" fontId="11" fillId="0" borderId="0" xfId="0" applyFont="1" applyAlignment="1">
      <alignment horizontal="left" vertical="center" wrapText="1"/>
    </xf>
    <xf numFmtId="0" fontId="11" fillId="0" borderId="37" xfId="0" applyFont="1" applyBorder="1" applyAlignment="1">
      <alignment horizontal="left" vertical="center" wrapText="1"/>
    </xf>
    <xf numFmtId="0" fontId="12" fillId="0" borderId="14" xfId="0" applyFont="1" applyBorder="1" applyAlignment="1">
      <alignment horizontal="left" vertical="center" wrapText="1"/>
    </xf>
    <xf numFmtId="0" fontId="12" fillId="0" borderId="0" xfId="0" applyFont="1" applyAlignment="1">
      <alignment horizontal="left" vertical="center" wrapText="1"/>
    </xf>
    <xf numFmtId="0" fontId="12" fillId="0" borderId="37" xfId="0" applyFont="1" applyBorder="1" applyAlignment="1">
      <alignment horizontal="left" vertical="center" wrapText="1"/>
    </xf>
    <xf numFmtId="0" fontId="11" fillId="0" borderId="12" xfId="0" applyFont="1" applyBorder="1" applyAlignment="1">
      <alignment horizontal="center" vertical="center" wrapText="1"/>
    </xf>
    <xf numFmtId="0" fontId="11" fillId="0" borderId="31" xfId="0" applyFont="1" applyBorder="1" applyAlignment="1">
      <alignment horizontal="center" vertical="center" wrapText="1"/>
    </xf>
    <xf numFmtId="0" fontId="13" fillId="0" borderId="24" xfId="0" applyFont="1" applyBorder="1" applyAlignment="1">
      <alignment horizontal="center" vertical="center" wrapText="1"/>
    </xf>
    <xf numFmtId="0" fontId="12" fillId="0" borderId="35" xfId="0" applyFont="1" applyBorder="1" applyAlignment="1">
      <alignment horizontal="center" vertical="center"/>
    </xf>
    <xf numFmtId="0" fontId="12" fillId="0" borderId="36" xfId="0" applyFont="1" applyBorder="1" applyAlignment="1">
      <alignment horizontal="center" vertical="center"/>
    </xf>
    <xf numFmtId="0" fontId="12" fillId="0" borderId="16"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36"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38"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37"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31" xfId="0" applyFont="1" applyBorder="1" applyAlignment="1">
      <alignment horizontal="center" vertical="center" wrapText="1"/>
    </xf>
    <xf numFmtId="0" fontId="12" fillId="0" borderId="24" xfId="0" applyFont="1" applyBorder="1" applyAlignment="1">
      <alignment horizontal="left" vertical="center" wrapText="1"/>
    </xf>
    <xf numFmtId="0" fontId="12" fillId="0" borderId="7" xfId="0" applyFont="1" applyBorder="1" applyAlignment="1">
      <alignment horizontal="left" vertical="center" wrapText="1"/>
    </xf>
    <xf numFmtId="0" fontId="12" fillId="0" borderId="38" xfId="0" applyFont="1" applyBorder="1" applyAlignment="1">
      <alignment horizontal="left" vertical="center" wrapText="1"/>
    </xf>
    <xf numFmtId="0" fontId="18" fillId="0" borderId="16" xfId="0" applyFont="1" applyBorder="1" applyAlignment="1">
      <alignment horizontal="left" vertical="center" wrapText="1" indent="3"/>
    </xf>
    <xf numFmtId="0" fontId="18" fillId="0" borderId="35" xfId="0" applyFont="1" applyBorder="1" applyAlignment="1">
      <alignment horizontal="left" vertical="center" wrapText="1" indent="3"/>
    </xf>
    <xf numFmtId="0" fontId="18" fillId="0" borderId="36" xfId="0" applyFont="1" applyBorder="1" applyAlignment="1">
      <alignment horizontal="left" vertical="center" wrapText="1" indent="3"/>
    </xf>
    <xf numFmtId="0" fontId="18" fillId="0" borderId="24" xfId="0" applyFont="1" applyBorder="1" applyAlignment="1">
      <alignment horizontal="left" vertical="center" wrapText="1" indent="3"/>
    </xf>
    <xf numFmtId="0" fontId="18" fillId="0" borderId="7" xfId="0" applyFont="1" applyBorder="1" applyAlignment="1">
      <alignment horizontal="left" vertical="center" wrapText="1" indent="3"/>
    </xf>
    <xf numFmtId="0" fontId="18" fillId="0" borderId="38" xfId="0" applyFont="1" applyBorder="1" applyAlignment="1">
      <alignment horizontal="left" vertical="center" wrapText="1" indent="3"/>
    </xf>
    <xf numFmtId="0" fontId="23" fillId="0" borderId="1"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19" fillId="0" borderId="24" xfId="0" applyFont="1" applyBorder="1" applyAlignment="1">
      <alignment horizontal="center" vertical="center" wrapText="1"/>
    </xf>
    <xf numFmtId="0" fontId="23" fillId="0" borderId="53" xfId="0" applyFont="1" applyBorder="1" applyAlignment="1">
      <alignment horizontal="right" vertical="center" wrapText="1" readingOrder="2"/>
    </xf>
    <xf numFmtId="0" fontId="23" fillId="0" borderId="49" xfId="0" applyFont="1" applyBorder="1" applyAlignment="1">
      <alignment horizontal="right" vertical="center" wrapText="1" readingOrder="2"/>
    </xf>
    <xf numFmtId="0" fontId="10" fillId="0" borderId="61" xfId="0" applyFont="1" applyBorder="1" applyAlignment="1">
      <alignment horizontal="right" vertical="center" wrapText="1" readingOrder="2"/>
    </xf>
    <xf numFmtId="0" fontId="10" fillId="0" borderId="63" xfId="0" applyFont="1" applyBorder="1" applyAlignment="1">
      <alignment horizontal="right" vertical="center" wrapText="1" readingOrder="2"/>
    </xf>
    <xf numFmtId="0" fontId="33" fillId="0" borderId="62" xfId="0" applyFont="1" applyBorder="1" applyAlignment="1">
      <alignment horizontal="center" vertical="center" wrapText="1" readingOrder="2"/>
    </xf>
    <xf numFmtId="0" fontId="33" fillId="0" borderId="64" xfId="0" applyFont="1" applyBorder="1" applyAlignment="1">
      <alignment horizontal="center" vertical="center" wrapText="1" readingOrder="2"/>
    </xf>
    <xf numFmtId="0" fontId="23" fillId="0" borderId="60" xfId="0" applyFont="1" applyBorder="1" applyAlignment="1">
      <alignment horizontal="center" vertical="center" wrapText="1" readingOrder="2"/>
    </xf>
    <xf numFmtId="0" fontId="23" fillId="0" borderId="2" xfId="0" applyFont="1" applyBorder="1" applyAlignment="1">
      <alignment horizontal="center" vertical="center" wrapText="1" readingOrder="2"/>
    </xf>
    <xf numFmtId="0" fontId="23" fillId="0" borderId="59" xfId="0" applyFont="1" applyBorder="1" applyAlignment="1">
      <alignment horizontal="center" vertical="center" wrapText="1" readingOrder="2"/>
    </xf>
    <xf numFmtId="0" fontId="23" fillId="0" borderId="56" xfId="0" applyFont="1" applyBorder="1" applyAlignment="1">
      <alignment horizontal="center" vertical="center" wrapText="1" readingOrder="2"/>
    </xf>
    <xf numFmtId="0" fontId="23" fillId="0" borderId="35" xfId="0" applyFont="1" applyBorder="1" applyAlignment="1">
      <alignment horizontal="center" vertical="center" wrapText="1" readingOrder="2"/>
    </xf>
    <xf numFmtId="0" fontId="23" fillId="0" borderId="55" xfId="0" applyFont="1" applyBorder="1" applyAlignment="1">
      <alignment horizontal="center" vertical="center" wrapText="1" readingOrder="2"/>
    </xf>
    <xf numFmtId="0" fontId="33" fillId="0" borderId="67" xfId="0" applyFont="1" applyBorder="1" applyAlignment="1">
      <alignment horizontal="center" vertical="center" wrapText="1" readingOrder="2"/>
    </xf>
    <xf numFmtId="0" fontId="23" fillId="0" borderId="50" xfId="0" applyFont="1" applyBorder="1" applyAlignment="1">
      <alignment horizontal="right" vertical="center" wrapText="1" readingOrder="2"/>
    </xf>
    <xf numFmtId="0" fontId="10" fillId="0" borderId="66" xfId="0" applyFont="1" applyBorder="1" applyAlignment="1">
      <alignment horizontal="right" vertical="center" wrapText="1" readingOrder="2"/>
    </xf>
    <xf numFmtId="0" fontId="33" fillId="0" borderId="60" xfId="0" applyFont="1" applyBorder="1" applyAlignment="1">
      <alignment horizontal="center" vertical="center" wrapText="1" readingOrder="2"/>
    </xf>
    <xf numFmtId="0" fontId="33" fillId="0" borderId="59" xfId="0" applyFont="1" applyBorder="1" applyAlignment="1">
      <alignment horizontal="center" vertical="center" wrapText="1" readingOrder="2"/>
    </xf>
    <xf numFmtId="0" fontId="23" fillId="0" borderId="57" xfId="0" applyFont="1" applyBorder="1" applyAlignment="1">
      <alignment horizontal="center" vertical="center" wrapText="1" readingOrder="2"/>
    </xf>
    <xf numFmtId="0" fontId="23" fillId="0" borderId="51" xfId="0" applyFont="1" applyBorder="1" applyAlignment="1">
      <alignment horizontal="center" vertical="center" wrapText="1" readingOrder="2"/>
    </xf>
    <xf numFmtId="0" fontId="33" fillId="0" borderId="56" xfId="0" applyFont="1" applyBorder="1" applyAlignment="1">
      <alignment horizontal="center" vertical="center" wrapText="1" readingOrder="2"/>
    </xf>
    <xf numFmtId="0" fontId="33" fillId="0" borderId="55" xfId="0" applyFont="1" applyBorder="1" applyAlignment="1">
      <alignment horizontal="center" vertical="center" wrapText="1" readingOrder="2"/>
    </xf>
    <xf numFmtId="0" fontId="33" fillId="0" borderId="54" xfId="0" applyFont="1" applyBorder="1" applyAlignment="1">
      <alignment horizontal="center" vertical="center" wrapText="1" readingOrder="2"/>
    </xf>
    <xf numFmtId="0" fontId="33" fillId="0" borderId="52" xfId="0" applyFont="1" applyBorder="1" applyAlignment="1">
      <alignment horizontal="center" vertical="center" wrapText="1" readingOrder="2"/>
    </xf>
    <xf numFmtId="0" fontId="33" fillId="0" borderId="57" xfId="0" applyFont="1" applyBorder="1" applyAlignment="1">
      <alignment horizontal="center" vertical="center" wrapText="1" readingOrder="2"/>
    </xf>
    <xf numFmtId="0" fontId="33" fillId="0" borderId="51" xfId="0" applyFont="1" applyBorder="1" applyAlignment="1">
      <alignment horizontal="center" vertical="center" wrapText="1" readingOrder="2"/>
    </xf>
    <xf numFmtId="0" fontId="21" fillId="0" borderId="56" xfId="0" applyFont="1" applyBorder="1" applyAlignment="1">
      <alignment horizontal="center" vertical="center" wrapText="1" readingOrder="1"/>
    </xf>
    <xf numFmtId="0" fontId="21" fillId="0" borderId="35" xfId="0" applyFont="1" applyBorder="1" applyAlignment="1">
      <alignment horizontal="center" vertical="center" wrapText="1" readingOrder="1"/>
    </xf>
    <xf numFmtId="0" fontId="21" fillId="0" borderId="55" xfId="0" applyFont="1" applyBorder="1" applyAlignment="1">
      <alignment horizontal="center" vertical="center" wrapText="1" readingOrder="1"/>
    </xf>
    <xf numFmtId="0" fontId="28" fillId="0" borderId="56" xfId="0" applyFont="1" applyBorder="1" applyAlignment="1">
      <alignment horizontal="right" vertical="center" wrapText="1" readingOrder="2"/>
    </xf>
    <xf numFmtId="0" fontId="28" fillId="0" borderId="35" xfId="0" applyFont="1" applyBorder="1" applyAlignment="1">
      <alignment horizontal="right" vertical="center" wrapText="1" readingOrder="2"/>
    </xf>
    <xf numFmtId="0" fontId="28" fillId="0" borderId="36" xfId="0" applyFont="1" applyBorder="1" applyAlignment="1">
      <alignment horizontal="right" vertical="center" wrapText="1" readingOrder="2"/>
    </xf>
    <xf numFmtId="0" fontId="28" fillId="0" borderId="57" xfId="0" applyFont="1" applyBorder="1" applyAlignment="1">
      <alignment horizontal="center" vertical="center" wrapText="1" readingOrder="2"/>
    </xf>
    <xf numFmtId="0" fontId="28" fillId="0" borderId="7" xfId="0" applyFont="1" applyBorder="1" applyAlignment="1">
      <alignment horizontal="center" vertical="center" wrapText="1" readingOrder="2"/>
    </xf>
    <xf numFmtId="0" fontId="28" fillId="0" borderId="51" xfId="0" applyFont="1" applyBorder="1" applyAlignment="1">
      <alignment horizontal="center" vertical="center" wrapText="1" readingOrder="2"/>
    </xf>
    <xf numFmtId="0" fontId="21" fillId="0" borderId="16" xfId="0" applyFont="1" applyBorder="1" applyAlignment="1">
      <alignment horizontal="left" vertical="top" wrapText="1" readingOrder="1"/>
    </xf>
    <xf numFmtId="0" fontId="21" fillId="0" borderId="35" xfId="0" applyFont="1" applyBorder="1" applyAlignment="1">
      <alignment horizontal="left" vertical="top" wrapText="1" readingOrder="1"/>
    </xf>
    <xf numFmtId="0" fontId="21" fillId="0" borderId="55" xfId="0" applyFont="1" applyBorder="1" applyAlignment="1">
      <alignment horizontal="left" vertical="top" wrapText="1" readingOrder="1"/>
    </xf>
    <xf numFmtId="0" fontId="21" fillId="0" borderId="24" xfId="0" applyFont="1" applyBorder="1" applyAlignment="1">
      <alignment horizontal="left" vertical="top" wrapText="1" readingOrder="1"/>
    </xf>
    <xf numFmtId="0" fontId="21" fillId="0" borderId="7" xfId="0" applyFont="1" applyBorder="1" applyAlignment="1">
      <alignment horizontal="left" vertical="top" wrapText="1" readingOrder="1"/>
    </xf>
    <xf numFmtId="0" fontId="21" fillId="0" borderId="51" xfId="0" applyFont="1" applyBorder="1" applyAlignment="1">
      <alignment horizontal="left" vertical="top" wrapText="1" readingOrder="1"/>
    </xf>
    <xf numFmtId="0" fontId="28" fillId="0" borderId="38" xfId="0" applyFont="1" applyBorder="1" applyAlignment="1">
      <alignment horizontal="center" vertical="center" wrapText="1" readingOrder="2"/>
    </xf>
    <xf numFmtId="0" fontId="33" fillId="0" borderId="50" xfId="0" applyFont="1" applyBorder="1" applyAlignment="1">
      <alignment horizontal="center" vertical="center" wrapText="1" readingOrder="2"/>
    </xf>
    <xf numFmtId="0" fontId="10" fillId="0" borderId="50" xfId="0" applyFont="1" applyBorder="1" applyAlignment="1">
      <alignment horizontal="right" vertical="center" wrapText="1" readingOrder="2"/>
    </xf>
    <xf numFmtId="0" fontId="28" fillId="0" borderId="16" xfId="0" applyFont="1" applyBorder="1" applyAlignment="1">
      <alignment horizontal="right" vertical="center" wrapText="1" readingOrder="2"/>
    </xf>
    <xf numFmtId="0" fontId="31" fillId="0" borderId="16" xfId="0" applyFont="1" applyBorder="1" applyAlignment="1">
      <alignment horizontal="right" vertical="center" wrapText="1" readingOrder="2"/>
    </xf>
    <xf numFmtId="0" fontId="31" fillId="0" borderId="35" xfId="0" applyFont="1" applyBorder="1" applyAlignment="1">
      <alignment horizontal="right" vertical="center" wrapText="1" readingOrder="2"/>
    </xf>
    <xf numFmtId="0" fontId="31" fillId="0" borderId="36" xfId="0" applyFont="1" applyBorder="1" applyAlignment="1">
      <alignment horizontal="right" vertical="center" wrapText="1" readingOrder="2"/>
    </xf>
    <xf numFmtId="0" fontId="28" fillId="0" borderId="24" xfId="0" applyFont="1" applyBorder="1" applyAlignment="1">
      <alignment horizontal="center" vertical="center" wrapText="1" readingOrder="2"/>
    </xf>
    <xf numFmtId="0" fontId="0" fillId="0" borderId="38" xfId="0" applyBorder="1" applyAlignment="1">
      <alignment horizontal="center"/>
    </xf>
    <xf numFmtId="0" fontId="21" fillId="0" borderId="60" xfId="0" applyFont="1" applyBorder="1" applyAlignment="1">
      <alignment horizontal="center" vertical="center" wrapText="1" readingOrder="2"/>
    </xf>
    <xf numFmtId="0" fontId="21" fillId="0" borderId="2" xfId="0" applyFont="1" applyBorder="1" applyAlignment="1">
      <alignment horizontal="center" vertical="center" wrapText="1" readingOrder="2"/>
    </xf>
    <xf numFmtId="0" fontId="21" fillId="0" borderId="3"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23" fillId="0" borderId="54" xfId="0" applyFont="1" applyBorder="1" applyAlignment="1">
      <alignment horizontal="center" vertical="center" wrapText="1" readingOrder="2"/>
    </xf>
    <xf numFmtId="0" fontId="23" fillId="0" borderId="0" xfId="0" applyFont="1" applyAlignment="1">
      <alignment horizontal="center" vertical="center" wrapText="1" readingOrder="2"/>
    </xf>
    <xf numFmtId="0" fontId="23" fillId="0" borderId="52" xfId="0" applyFont="1" applyBorder="1" applyAlignment="1">
      <alignment horizontal="center" vertical="center" wrapText="1" readingOrder="2"/>
    </xf>
    <xf numFmtId="0" fontId="23" fillId="0" borderId="7" xfId="0" applyFont="1" applyBorder="1" applyAlignment="1">
      <alignment horizontal="center" vertical="center" wrapText="1" readingOrder="2"/>
    </xf>
    <xf numFmtId="0" fontId="18" fillId="0" borderId="50" xfId="0" applyFont="1" applyBorder="1" applyAlignment="1">
      <alignment horizontal="center" vertical="center" wrapText="1" readingOrder="2"/>
    </xf>
    <xf numFmtId="0" fontId="18" fillId="0" borderId="49" xfId="0" applyFont="1" applyBorder="1" applyAlignment="1">
      <alignment horizontal="center" vertical="center" wrapText="1" readingOrder="2"/>
    </xf>
    <xf numFmtId="0" fontId="35" fillId="0" borderId="7" xfId="0" applyFont="1" applyBorder="1" applyAlignment="1">
      <alignment horizontal="center"/>
    </xf>
    <xf numFmtId="0" fontId="35" fillId="0" borderId="38" xfId="0" applyFont="1" applyBorder="1" applyAlignment="1">
      <alignment horizontal="center"/>
    </xf>
    <xf numFmtId="0" fontId="29" fillId="0" borderId="1" xfId="0" applyFont="1" applyBorder="1" applyAlignment="1">
      <alignment horizontal="center" vertical="center" wrapText="1" readingOrder="2"/>
    </xf>
    <xf numFmtId="0" fontId="29" fillId="0" borderId="2" xfId="0" applyFont="1" applyBorder="1" applyAlignment="1">
      <alignment horizontal="center" vertical="center" wrapText="1" readingOrder="2"/>
    </xf>
    <xf numFmtId="0" fontId="29" fillId="0" borderId="3" xfId="0" applyFont="1" applyBorder="1" applyAlignment="1">
      <alignment horizontal="center" vertical="center" wrapText="1" readingOrder="2"/>
    </xf>
    <xf numFmtId="0" fontId="21" fillId="0" borderId="16" xfId="0" applyFont="1" applyBorder="1" applyAlignment="1">
      <alignment horizontal="right" vertical="center" wrapText="1" readingOrder="2"/>
    </xf>
    <xf numFmtId="0" fontId="21" fillId="0" borderId="35" xfId="0" applyFont="1" applyBorder="1" applyAlignment="1">
      <alignment horizontal="right" vertical="center" wrapText="1" readingOrder="2"/>
    </xf>
    <xf numFmtId="0" fontId="33" fillId="0" borderId="68" xfId="0" applyFont="1" applyBorder="1" applyAlignment="1">
      <alignment horizontal="center" vertical="center" wrapText="1" readingOrder="2"/>
    </xf>
    <xf numFmtId="0" fontId="33" fillId="0" borderId="69" xfId="0" applyFont="1" applyBorder="1" applyAlignment="1">
      <alignment horizontal="center" vertical="center" wrapText="1" readingOrder="2"/>
    </xf>
    <xf numFmtId="0" fontId="23" fillId="0" borderId="68" xfId="0" applyFont="1" applyBorder="1" applyAlignment="1">
      <alignment horizontal="center" vertical="center" wrapText="1" readingOrder="2"/>
    </xf>
    <xf numFmtId="0" fontId="23" fillId="0" borderId="69" xfId="0" applyFont="1" applyBorder="1" applyAlignment="1">
      <alignment horizontal="center" vertical="center" wrapText="1" readingOrder="2"/>
    </xf>
    <xf numFmtId="0" fontId="23" fillId="0" borderId="48" xfId="0" applyFont="1" applyBorder="1" applyAlignment="1">
      <alignment horizontal="center" vertical="center" wrapText="1" readingOrder="2"/>
    </xf>
    <xf numFmtId="0" fontId="23" fillId="0" borderId="44" xfId="0" applyFont="1" applyBorder="1" applyAlignment="1">
      <alignment horizontal="center" vertical="center" wrapText="1" readingOrder="2"/>
    </xf>
    <xf numFmtId="0" fontId="40" fillId="0" borderId="1" xfId="0" applyFont="1" applyBorder="1" applyAlignment="1">
      <alignment horizontal="center" vertical="center" wrapText="1" readingOrder="1"/>
    </xf>
    <xf numFmtId="0" fontId="40" fillId="0" borderId="2" xfId="0" applyFont="1" applyBorder="1" applyAlignment="1">
      <alignment horizontal="center" vertical="center" wrapText="1" readingOrder="1"/>
    </xf>
    <xf numFmtId="0" fontId="40" fillId="0" borderId="3" xfId="0" applyFont="1" applyBorder="1" applyAlignment="1">
      <alignment horizontal="center" vertical="center" wrapText="1" readingOrder="1"/>
    </xf>
    <xf numFmtId="0" fontId="34" fillId="0" borderId="1" xfId="0" applyFont="1" applyBorder="1" applyAlignment="1">
      <alignment horizontal="center" vertical="center" wrapText="1" readingOrder="1"/>
    </xf>
    <xf numFmtId="0" fontId="34" fillId="0" borderId="2" xfId="0" applyFont="1" applyBorder="1" applyAlignment="1">
      <alignment horizontal="center" vertical="center" wrapText="1" readingOrder="1"/>
    </xf>
    <xf numFmtId="0" fontId="34" fillId="0" borderId="3" xfId="0" applyFont="1" applyBorder="1" applyAlignment="1">
      <alignment horizontal="center" vertical="center" wrapText="1" readingOrder="1"/>
    </xf>
    <xf numFmtId="0" fontId="34" fillId="0" borderId="1" xfId="0" applyFont="1" applyBorder="1" applyAlignment="1">
      <alignment horizontal="center"/>
    </xf>
    <xf numFmtId="0" fontId="34" fillId="0" borderId="3" xfId="0" applyFont="1" applyBorder="1" applyAlignment="1">
      <alignment horizontal="center"/>
    </xf>
    <xf numFmtId="0" fontId="23" fillId="0" borderId="1" xfId="0" applyFont="1" applyBorder="1" applyAlignment="1">
      <alignment horizontal="center" vertical="center" wrapText="1" readingOrder="2"/>
    </xf>
    <xf numFmtId="0" fontId="23" fillId="0" borderId="3" xfId="0" applyFont="1" applyBorder="1" applyAlignment="1">
      <alignment horizontal="center" vertical="center" wrapText="1" readingOrder="2"/>
    </xf>
    <xf numFmtId="0" fontId="7" fillId="0" borderId="16" xfId="0" applyFont="1" applyBorder="1" applyAlignment="1">
      <alignment horizontal="center"/>
    </xf>
    <xf numFmtId="0" fontId="7" fillId="0" borderId="35"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center"/>
    </xf>
    <xf numFmtId="0" fontId="6" fillId="0" borderId="16" xfId="0" applyFont="1" applyBorder="1" applyAlignment="1">
      <alignment horizontal="center" vertical="center"/>
    </xf>
    <xf numFmtId="0" fontId="6" fillId="0" borderId="14" xfId="0" applyFont="1" applyBorder="1" applyAlignment="1">
      <alignment horizontal="center" vertical="center"/>
    </xf>
    <xf numFmtId="0" fontId="6" fillId="0" borderId="24" xfId="0" applyFont="1" applyBorder="1" applyAlignment="1">
      <alignment horizontal="center" vertical="center"/>
    </xf>
    <xf numFmtId="0" fontId="7" fillId="0" borderId="35" xfId="0" applyFont="1" applyBorder="1" applyAlignment="1">
      <alignment horizontal="center" vertical="center"/>
    </xf>
    <xf numFmtId="49" fontId="4" fillId="0" borderId="48" xfId="0" applyNumberFormat="1" applyFont="1" applyBorder="1" applyAlignment="1">
      <alignment horizontal="center"/>
    </xf>
  </cellXfs>
  <cellStyles count="1">
    <cellStyle name="Normal" xfId="0" builtinId="0"/>
  </cellStyles>
  <dxfs count="11">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7C80"/>
      <color rgb="FFFF33CC"/>
      <color rgb="FF3D6A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33</xdr:row>
          <xdr:rowOff>0</xdr:rowOff>
        </xdr:from>
        <xdr:to>
          <xdr:col>7</xdr:col>
          <xdr:colOff>457200</xdr:colOff>
          <xdr:row>34</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35</xdr:row>
          <xdr:rowOff>0</xdr:rowOff>
        </xdr:from>
        <xdr:to>
          <xdr:col>7</xdr:col>
          <xdr:colOff>457200</xdr:colOff>
          <xdr:row>36</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295275</xdr:colOff>
          <xdr:row>7</xdr:row>
          <xdr:rowOff>295275</xdr:rowOff>
        </xdr:from>
        <xdr:to>
          <xdr:col>17</xdr:col>
          <xdr:colOff>533400</xdr:colOff>
          <xdr:row>9</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9</xdr:row>
          <xdr:rowOff>171450</xdr:rowOff>
        </xdr:from>
        <xdr:to>
          <xdr:col>17</xdr:col>
          <xdr:colOff>523875</xdr:colOff>
          <xdr:row>10</xdr:row>
          <xdr:rowOff>247650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7</xdr:row>
          <xdr:rowOff>295275</xdr:rowOff>
        </xdr:from>
        <xdr:to>
          <xdr:col>15</xdr:col>
          <xdr:colOff>323850</xdr:colOff>
          <xdr:row>9</xdr:row>
          <xdr:rowOff>38100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295275</xdr:rowOff>
        </xdr:from>
        <xdr:to>
          <xdr:col>13</xdr:col>
          <xdr:colOff>19050</xdr:colOff>
          <xdr:row>9</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30</xdr:row>
          <xdr:rowOff>171450</xdr:rowOff>
        </xdr:from>
        <xdr:to>
          <xdr:col>11</xdr:col>
          <xdr:colOff>542925</xdr:colOff>
          <xdr:row>31</xdr:row>
          <xdr:rowOff>180975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30</xdr:row>
          <xdr:rowOff>180975</xdr:rowOff>
        </xdr:from>
        <xdr:to>
          <xdr:col>15</xdr:col>
          <xdr:colOff>142875</xdr:colOff>
          <xdr:row>31</xdr:row>
          <xdr:rowOff>171450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7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638175</xdr:colOff>
          <xdr:row>30</xdr:row>
          <xdr:rowOff>180975</xdr:rowOff>
        </xdr:from>
        <xdr:to>
          <xdr:col>14</xdr:col>
          <xdr:colOff>209550</xdr:colOff>
          <xdr:row>31</xdr:row>
          <xdr:rowOff>171450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7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676275</xdr:colOff>
          <xdr:row>39</xdr:row>
          <xdr:rowOff>104775</xdr:rowOff>
        </xdr:from>
        <xdr:to>
          <xdr:col>6</xdr:col>
          <xdr:colOff>952500</xdr:colOff>
          <xdr:row>41</xdr:row>
          <xdr:rowOff>28575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39</xdr:row>
          <xdr:rowOff>85725</xdr:rowOff>
        </xdr:from>
        <xdr:to>
          <xdr:col>8</xdr:col>
          <xdr:colOff>142875</xdr:colOff>
          <xdr:row>41</xdr:row>
          <xdr:rowOff>19050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39</xdr:row>
          <xdr:rowOff>104775</xdr:rowOff>
        </xdr:from>
        <xdr:to>
          <xdr:col>4</xdr:col>
          <xdr:colOff>600075</xdr:colOff>
          <xdr:row>41</xdr:row>
          <xdr:rowOff>28575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8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8.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385AA-B32F-449A-8ED8-D8655EB834DE}">
  <sheetPr codeName="גיליון1"/>
  <dimension ref="A1:BM111"/>
  <sheetViews>
    <sheetView rightToLeft="1" tabSelected="1" topLeftCell="A75" zoomScaleNormal="100" workbookViewId="0">
      <selection activeCell="F85" sqref="F85:G85"/>
    </sheetView>
  </sheetViews>
  <sheetFormatPr defaultRowHeight="14.25" x14ac:dyDescent="0.2"/>
  <cols>
    <col min="1" max="1" width="6.75" customWidth="1"/>
    <col min="3" max="3" width="6.75" customWidth="1"/>
    <col min="4" max="4" width="8.125" customWidth="1"/>
    <col min="5" max="5" width="6.625" customWidth="1"/>
    <col min="6" max="6" width="4.375" customWidth="1"/>
    <col min="7" max="7" width="2.25" customWidth="1"/>
    <col min="8" max="8" width="7.25" customWidth="1"/>
    <col min="9" max="9" width="6.125" customWidth="1"/>
    <col min="10" max="60" width="6.75" customWidth="1"/>
  </cols>
  <sheetData>
    <row r="1" spans="1:17" ht="39.75" customHeight="1" thickBot="1" x14ac:dyDescent="0.35">
      <c r="A1" s="198" t="s">
        <v>336</v>
      </c>
      <c r="B1" s="199"/>
      <c r="C1" s="199"/>
      <c r="D1" s="199"/>
      <c r="E1" s="200"/>
      <c r="F1" s="171"/>
      <c r="G1" s="172"/>
      <c r="H1" s="172"/>
      <c r="I1" s="173"/>
      <c r="J1" s="174"/>
      <c r="K1" s="7"/>
      <c r="L1" s="7"/>
      <c r="M1" s="7"/>
    </row>
    <row r="2" spans="1:17" ht="3" customHeight="1" thickBot="1" x14ac:dyDescent="0.25"/>
    <row r="3" spans="1:17" ht="15.75" thickBot="1" x14ac:dyDescent="0.3">
      <c r="A3" s="181" t="s">
        <v>0</v>
      </c>
      <c r="B3" s="182"/>
      <c r="C3" s="183"/>
      <c r="D3" s="178"/>
      <c r="E3" s="179"/>
      <c r="F3" s="179"/>
      <c r="G3" s="179"/>
      <c r="H3" s="179"/>
      <c r="I3" s="179"/>
      <c r="J3" s="180"/>
    </row>
    <row r="4" spans="1:17" ht="3" customHeight="1" thickBot="1" x14ac:dyDescent="0.25"/>
    <row r="5" spans="1:17" ht="15.75" thickBot="1" x14ac:dyDescent="0.3">
      <c r="A5" s="181" t="s">
        <v>1</v>
      </c>
      <c r="B5" s="182"/>
      <c r="C5" s="183"/>
      <c r="D5" s="181"/>
      <c r="E5" s="182"/>
      <c r="F5" s="182"/>
      <c r="G5" s="182"/>
      <c r="H5" s="182"/>
      <c r="I5" s="182"/>
      <c r="J5" s="183"/>
    </row>
    <row r="6" spans="1:17" ht="3" customHeight="1" thickBot="1" x14ac:dyDescent="0.25"/>
    <row r="7" spans="1:17" ht="15.75" thickBot="1" x14ac:dyDescent="0.3">
      <c r="A7" s="181" t="s">
        <v>2</v>
      </c>
      <c r="B7" s="183"/>
      <c r="C7" s="210"/>
      <c r="D7" s="211"/>
      <c r="E7" s="181"/>
      <c r="F7" s="182"/>
      <c r="G7" s="182"/>
      <c r="H7" s="182"/>
      <c r="I7" s="182"/>
      <c r="J7" s="183"/>
      <c r="M7" s="6"/>
      <c r="N7" s="6"/>
      <c r="O7" s="10"/>
      <c r="P7" s="212"/>
      <c r="Q7" s="212"/>
    </row>
    <row r="8" spans="1:17" ht="3.75" customHeight="1" thickBot="1" x14ac:dyDescent="0.25"/>
    <row r="9" spans="1:17" ht="15.75" thickBot="1" x14ac:dyDescent="0.3">
      <c r="A9" s="182" t="s">
        <v>3</v>
      </c>
      <c r="B9" s="182"/>
      <c r="C9" s="181"/>
      <c r="D9" s="182"/>
      <c r="E9" s="182"/>
      <c r="F9" s="182"/>
      <c r="G9" s="182"/>
      <c r="H9" s="182"/>
      <c r="I9" s="182"/>
      <c r="J9" s="183"/>
    </row>
    <row r="10" spans="1:17" ht="2.25" customHeight="1" thickBot="1" x14ac:dyDescent="0.25"/>
    <row r="11" spans="1:17" ht="15.75" thickBot="1" x14ac:dyDescent="0.3">
      <c r="A11" s="11" t="s">
        <v>4</v>
      </c>
      <c r="B11" s="188"/>
      <c r="C11" s="189"/>
      <c r="D11" s="189"/>
      <c r="E11" s="221"/>
      <c r="G11" s="181" t="s">
        <v>6</v>
      </c>
      <c r="H11" s="182"/>
      <c r="I11" s="183"/>
      <c r="J11" s="126"/>
    </row>
    <row r="12" spans="1:17" ht="3" customHeight="1" thickBot="1" x14ac:dyDescent="0.25"/>
    <row r="13" spans="1:17" ht="15.75" thickBot="1" x14ac:dyDescent="0.3">
      <c r="A13" s="181" t="s">
        <v>5</v>
      </c>
      <c r="B13" s="183"/>
      <c r="C13" s="181"/>
      <c r="D13" s="182"/>
      <c r="E13" s="183"/>
      <c r="G13" s="181" t="s">
        <v>7</v>
      </c>
      <c r="H13" s="182"/>
      <c r="I13" s="183"/>
      <c r="J13" s="126"/>
    </row>
    <row r="14" spans="1:17" ht="3.75" customHeight="1" thickBot="1" x14ac:dyDescent="0.25"/>
    <row r="15" spans="1:17" ht="15.75" customHeight="1" thickBot="1" x14ac:dyDescent="0.3">
      <c r="A15" s="181" t="s">
        <v>97</v>
      </c>
      <c r="B15" s="182"/>
      <c r="C15" s="207"/>
      <c r="D15" s="208"/>
      <c r="E15" s="208"/>
      <c r="F15" s="208"/>
      <c r="G15" s="209"/>
      <c r="H15" s="151"/>
      <c r="I15" s="152" t="s">
        <v>398</v>
      </c>
      <c r="J15" s="126"/>
    </row>
    <row r="16" spans="1:17" ht="3" customHeight="1" thickBot="1" x14ac:dyDescent="0.25"/>
    <row r="17" spans="1:65" ht="15.75" customHeight="1" thickBot="1" x14ac:dyDescent="0.3">
      <c r="A17" s="181" t="s">
        <v>25</v>
      </c>
      <c r="B17" s="183"/>
      <c r="C17" s="181"/>
      <c r="D17" s="183"/>
      <c r="F17" s="181" t="s">
        <v>26</v>
      </c>
      <c r="G17" s="182"/>
      <c r="H17" s="182"/>
      <c r="I17" s="179"/>
      <c r="J17" s="180"/>
      <c r="L17" s="6"/>
      <c r="M17" s="6"/>
    </row>
    <row r="18" spans="1:65" ht="1.5" customHeight="1" x14ac:dyDescent="0.2"/>
    <row r="19" spans="1:65" ht="3.75" customHeight="1" thickBot="1" x14ac:dyDescent="0.25"/>
    <row r="20" spans="1:65" ht="15.75" customHeight="1" thickBot="1" x14ac:dyDescent="0.25">
      <c r="A20" s="215" t="s">
        <v>27</v>
      </c>
      <c r="B20" s="201" t="s">
        <v>28</v>
      </c>
      <c r="C20" s="195"/>
      <c r="D20" s="217" t="s">
        <v>29</v>
      </c>
      <c r="E20" s="219" t="s">
        <v>30</v>
      </c>
      <c r="F20" s="190" t="s">
        <v>34</v>
      </c>
      <c r="G20" s="191"/>
      <c r="H20" s="194" t="s">
        <v>31</v>
      </c>
      <c r="I20" s="195"/>
      <c r="J20" s="213" t="s">
        <v>32</v>
      </c>
      <c r="K20" s="188" t="s">
        <v>33</v>
      </c>
      <c r="L20" s="189"/>
      <c r="M20" s="189"/>
      <c r="N20" s="189"/>
      <c r="O20" s="189"/>
      <c r="P20" s="189"/>
      <c r="Q20" s="189"/>
      <c r="R20" s="189"/>
      <c r="S20" s="189"/>
      <c r="T20" s="189"/>
      <c r="U20" s="189"/>
      <c r="V20" s="188" t="s">
        <v>33</v>
      </c>
      <c r="W20" s="189"/>
      <c r="X20" s="189"/>
      <c r="Y20" s="189"/>
      <c r="Z20" s="189"/>
      <c r="AA20" s="189"/>
      <c r="AB20" s="189"/>
      <c r="AC20" s="189"/>
      <c r="AD20" s="189"/>
      <c r="AE20" s="189"/>
      <c r="AF20" s="189"/>
      <c r="AG20" s="188" t="s">
        <v>33</v>
      </c>
      <c r="AH20" s="189"/>
      <c r="AI20" s="189"/>
      <c r="AJ20" s="189"/>
      <c r="AK20" s="189"/>
      <c r="AL20" s="189"/>
      <c r="AM20" s="189"/>
      <c r="AN20" s="189"/>
      <c r="AO20" s="189"/>
      <c r="AP20" s="189"/>
      <c r="AQ20" s="189"/>
      <c r="AR20" s="188" t="s">
        <v>33</v>
      </c>
      <c r="AS20" s="189"/>
      <c r="AT20" s="189"/>
      <c r="AU20" s="189"/>
      <c r="AV20" s="189"/>
      <c r="AW20" s="189"/>
      <c r="AX20" s="189"/>
      <c r="AY20" s="189"/>
      <c r="AZ20" s="189"/>
      <c r="BA20" s="189"/>
      <c r="BB20" s="189"/>
      <c r="BC20" s="188" t="s">
        <v>33</v>
      </c>
      <c r="BD20" s="189"/>
      <c r="BE20" s="189"/>
      <c r="BF20" s="189"/>
      <c r="BG20" s="189"/>
      <c r="BH20" s="189"/>
      <c r="BI20" s="189"/>
      <c r="BJ20" s="189"/>
      <c r="BK20" s="189"/>
      <c r="BL20" s="189"/>
      <c r="BM20" s="22"/>
    </row>
    <row r="21" spans="1:65" ht="15.75" customHeight="1" thickBot="1" x14ac:dyDescent="0.25">
      <c r="A21" s="216"/>
      <c r="B21" s="202"/>
      <c r="C21" s="203"/>
      <c r="D21" s="218"/>
      <c r="E21" s="220"/>
      <c r="F21" s="192"/>
      <c r="G21" s="193"/>
      <c r="H21" s="196"/>
      <c r="I21" s="197"/>
      <c r="J21" s="214"/>
      <c r="K21" s="12">
        <v>1</v>
      </c>
      <c r="L21" s="13">
        <v>2</v>
      </c>
      <c r="M21" s="12">
        <v>3</v>
      </c>
      <c r="N21" s="13">
        <v>4</v>
      </c>
      <c r="O21" s="12">
        <v>5</v>
      </c>
      <c r="P21" s="13">
        <v>6</v>
      </c>
      <c r="Q21" s="12">
        <v>7</v>
      </c>
      <c r="R21" s="13">
        <v>8</v>
      </c>
      <c r="S21" s="12">
        <v>9</v>
      </c>
      <c r="T21" s="13">
        <v>10</v>
      </c>
      <c r="U21" s="13"/>
      <c r="V21" s="12">
        <v>11</v>
      </c>
      <c r="W21" s="13">
        <v>12</v>
      </c>
      <c r="X21" s="12">
        <v>13</v>
      </c>
      <c r="Y21" s="13">
        <v>14</v>
      </c>
      <c r="Z21" s="12">
        <v>15</v>
      </c>
      <c r="AA21" s="12">
        <v>16</v>
      </c>
      <c r="AB21" s="13">
        <v>17</v>
      </c>
      <c r="AC21" s="12">
        <v>18</v>
      </c>
      <c r="AD21" s="13">
        <v>19</v>
      </c>
      <c r="AE21" s="12">
        <v>20</v>
      </c>
      <c r="AF21" s="13">
        <v>21</v>
      </c>
      <c r="AG21" s="12">
        <v>22</v>
      </c>
      <c r="AH21" s="13">
        <v>23</v>
      </c>
      <c r="AI21" s="12">
        <v>24</v>
      </c>
      <c r="AJ21" s="13">
        <v>25</v>
      </c>
      <c r="AK21" s="12">
        <v>26</v>
      </c>
      <c r="AL21" s="13">
        <v>27</v>
      </c>
      <c r="AM21" s="12">
        <v>28</v>
      </c>
      <c r="AN21" s="13">
        <v>29</v>
      </c>
      <c r="AO21" s="12">
        <v>30</v>
      </c>
      <c r="AP21" s="12">
        <v>31</v>
      </c>
      <c r="AQ21" s="13">
        <v>32</v>
      </c>
      <c r="AR21" s="12">
        <v>33</v>
      </c>
      <c r="AS21" s="13">
        <v>34</v>
      </c>
      <c r="AT21" s="12">
        <v>35</v>
      </c>
      <c r="AU21" s="13">
        <v>36</v>
      </c>
      <c r="AV21" s="12">
        <v>37</v>
      </c>
      <c r="AW21" s="13">
        <v>38</v>
      </c>
      <c r="AX21" s="12">
        <v>39</v>
      </c>
      <c r="AY21" s="13">
        <v>40</v>
      </c>
      <c r="AZ21" s="12">
        <v>41</v>
      </c>
      <c r="BA21" s="13">
        <v>42</v>
      </c>
      <c r="BB21" s="12">
        <v>43</v>
      </c>
      <c r="BC21" s="13">
        <v>44</v>
      </c>
      <c r="BD21" s="12">
        <v>45</v>
      </c>
      <c r="BE21" s="12">
        <v>46</v>
      </c>
      <c r="BF21" s="13">
        <v>47</v>
      </c>
      <c r="BG21" s="12">
        <v>48</v>
      </c>
      <c r="BH21" s="13">
        <v>49</v>
      </c>
      <c r="BI21" s="14">
        <v>50</v>
      </c>
      <c r="BJ21" s="5">
        <v>51</v>
      </c>
      <c r="BK21" s="21">
        <v>52</v>
      </c>
      <c r="BL21" s="5">
        <v>53</v>
      </c>
    </row>
    <row r="22" spans="1:65" ht="3.75" customHeight="1" x14ac:dyDescent="0.2">
      <c r="A22" s="25"/>
      <c r="B22" s="130"/>
      <c r="C22" s="131"/>
      <c r="D22" s="26"/>
      <c r="E22" s="27"/>
      <c r="F22" s="28"/>
      <c r="G22" s="29"/>
      <c r="H22" s="30"/>
      <c r="I22" s="26"/>
      <c r="J22" s="30"/>
      <c r="K22" s="31"/>
      <c r="L22" s="32"/>
      <c r="M22" s="31"/>
      <c r="N22" s="32"/>
      <c r="O22" s="31"/>
      <c r="P22" s="32"/>
      <c r="Q22" s="31"/>
      <c r="R22" s="32"/>
      <c r="S22" s="31"/>
      <c r="T22" s="32"/>
      <c r="U22" s="31"/>
      <c r="V22" s="32"/>
      <c r="W22" s="31"/>
      <c r="X22" s="32"/>
      <c r="Y22" s="31"/>
      <c r="Z22" s="31"/>
      <c r="AA22" s="32"/>
      <c r="AB22" s="31"/>
      <c r="AC22" s="32"/>
      <c r="AD22" s="31"/>
      <c r="AE22" s="32"/>
      <c r="AF22" s="31"/>
      <c r="AG22" s="32"/>
      <c r="AH22" s="31"/>
      <c r="AI22" s="32"/>
      <c r="AJ22" s="31"/>
      <c r="AK22" s="32"/>
      <c r="AL22" s="31"/>
      <c r="AM22" s="32"/>
      <c r="AN22" s="31"/>
      <c r="AO22" s="31"/>
      <c r="AP22" s="32"/>
      <c r="AQ22" s="31"/>
      <c r="AR22" s="32"/>
      <c r="AS22" s="31"/>
      <c r="AT22" s="32"/>
      <c r="AU22" s="31"/>
      <c r="AV22" s="32"/>
      <c r="AW22" s="31"/>
      <c r="AX22" s="32"/>
      <c r="AY22" s="31"/>
      <c r="AZ22" s="32"/>
      <c r="BA22" s="31"/>
      <c r="BB22" s="32"/>
      <c r="BC22" s="31"/>
      <c r="BD22" s="31"/>
      <c r="BE22" s="32"/>
      <c r="BF22" s="31"/>
      <c r="BG22" s="32"/>
      <c r="BH22" s="33"/>
      <c r="BI22" s="32"/>
      <c r="BJ22" s="33"/>
      <c r="BK22" s="32"/>
      <c r="BL22" s="33"/>
    </row>
    <row r="23" spans="1:65" x14ac:dyDescent="0.2">
      <c r="A23" s="129">
        <v>1</v>
      </c>
      <c r="B23" s="204"/>
      <c r="C23" s="205"/>
      <c r="D23" s="132"/>
      <c r="E23" s="127"/>
      <c r="F23" s="186"/>
      <c r="G23" s="187"/>
      <c r="H23" s="204"/>
      <c r="I23" s="205"/>
      <c r="J23" s="17">
        <f>IF($B23='אפיון מידה'!$P$38,$I$17,דגימה!$I$31)</f>
        <v>2</v>
      </c>
      <c r="K23" s="110"/>
      <c r="L23" s="110"/>
      <c r="M23" s="110"/>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1"/>
      <c r="BJ23" s="111"/>
      <c r="BK23" s="111"/>
      <c r="BL23" s="111"/>
    </row>
    <row r="24" spans="1:65" x14ac:dyDescent="0.2">
      <c r="A24" s="18">
        <v>2</v>
      </c>
      <c r="B24" s="206"/>
      <c r="C24" s="205"/>
      <c r="D24" s="128"/>
      <c r="E24" s="127"/>
      <c r="F24" s="176"/>
      <c r="G24" s="177"/>
      <c r="H24" s="169"/>
      <c r="I24" s="170"/>
      <c r="J24" s="17">
        <f>IF($B24='אפיון מידה'!$P$38,$I$17,דגימה!$I$31)</f>
        <v>2</v>
      </c>
      <c r="K24" s="110"/>
      <c r="L24" s="110"/>
      <c r="M24" s="110"/>
      <c r="N24" s="110"/>
      <c r="O24" s="110"/>
      <c r="P24" s="110"/>
      <c r="Q24" s="110"/>
      <c r="R24" s="110"/>
      <c r="S24" s="110"/>
      <c r="T24" s="110"/>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1"/>
      <c r="BJ24" s="111"/>
      <c r="BK24" s="111"/>
      <c r="BL24" s="111"/>
    </row>
    <row r="25" spans="1:65" x14ac:dyDescent="0.2">
      <c r="A25" s="18">
        <v>3</v>
      </c>
      <c r="B25" s="175"/>
      <c r="C25" s="170"/>
      <c r="D25" s="128"/>
      <c r="E25" s="127"/>
      <c r="F25" s="186"/>
      <c r="G25" s="187"/>
      <c r="H25" s="169"/>
      <c r="I25" s="170"/>
      <c r="J25" s="17">
        <f>IF($B25='אפיון מידה'!$P$38,$I$17,דגימה!$I$31)</f>
        <v>2</v>
      </c>
      <c r="K25" s="110"/>
      <c r="L25" s="110"/>
      <c r="M25" s="110"/>
      <c r="N25" s="110"/>
      <c r="O25" s="110"/>
      <c r="P25" s="110"/>
      <c r="Q25" s="110"/>
      <c r="R25" s="110"/>
      <c r="S25" s="110"/>
      <c r="T25" s="110"/>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1"/>
      <c r="BJ25" s="111"/>
      <c r="BK25" s="111"/>
      <c r="BL25" s="111"/>
    </row>
    <row r="26" spans="1:65" x14ac:dyDescent="0.2">
      <c r="A26" s="18">
        <v>4</v>
      </c>
      <c r="B26" s="175"/>
      <c r="C26" s="170"/>
      <c r="D26" s="128"/>
      <c r="E26" s="127"/>
      <c r="F26" s="176"/>
      <c r="G26" s="177"/>
      <c r="H26" s="169"/>
      <c r="I26" s="170"/>
      <c r="J26" s="17">
        <f>IF($B26='אפיון מידה'!$P$38,$I$17,דגימה!$I$31)</f>
        <v>2</v>
      </c>
      <c r="K26" s="110"/>
      <c r="L26" s="110"/>
      <c r="M26" s="110"/>
      <c r="N26" s="110"/>
      <c r="O26" s="110"/>
      <c r="P26" s="110"/>
      <c r="Q26" s="110"/>
      <c r="R26" s="110"/>
      <c r="S26" s="110"/>
      <c r="T26" s="110"/>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1"/>
      <c r="BJ26" s="111"/>
      <c r="BK26" s="111"/>
      <c r="BL26" s="111"/>
    </row>
    <row r="27" spans="1:65" x14ac:dyDescent="0.2">
      <c r="A27" s="18">
        <v>5</v>
      </c>
      <c r="B27" s="175"/>
      <c r="C27" s="170"/>
      <c r="D27" s="128"/>
      <c r="E27" s="128"/>
      <c r="F27" s="186"/>
      <c r="G27" s="187"/>
      <c r="H27" s="169"/>
      <c r="I27" s="170"/>
      <c r="J27" s="17">
        <f>IF($B27='אפיון מידה'!$P$38,$I$17,דגימה!$I$31)</f>
        <v>2</v>
      </c>
      <c r="K27" s="110"/>
      <c r="L27" s="110"/>
      <c r="M27" s="110"/>
      <c r="N27" s="110"/>
      <c r="O27" s="110"/>
      <c r="P27" s="110"/>
      <c r="Q27" s="110"/>
      <c r="R27" s="110"/>
      <c r="S27" s="110"/>
      <c r="T27" s="110"/>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1"/>
      <c r="BJ27" s="111"/>
      <c r="BK27" s="111"/>
      <c r="BL27" s="111"/>
    </row>
    <row r="28" spans="1:65" x14ac:dyDescent="0.2">
      <c r="A28" s="18">
        <v>6</v>
      </c>
      <c r="B28" s="175"/>
      <c r="C28" s="170"/>
      <c r="D28" s="128"/>
      <c r="E28" s="128"/>
      <c r="F28" s="176"/>
      <c r="G28" s="177"/>
      <c r="H28" s="169"/>
      <c r="I28" s="170"/>
      <c r="J28" s="17">
        <f>IF($B28='אפיון מידה'!$P$38,$I$17,דגימה!$I$31)</f>
        <v>2</v>
      </c>
      <c r="K28" s="110"/>
      <c r="L28" s="110"/>
      <c r="M28" s="110"/>
      <c r="N28" s="110"/>
      <c r="O28" s="110"/>
      <c r="P28" s="110"/>
      <c r="Q28" s="110"/>
      <c r="R28" s="110"/>
      <c r="S28" s="110"/>
      <c r="T28" s="110"/>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1"/>
      <c r="BJ28" s="111"/>
      <c r="BK28" s="111"/>
      <c r="BL28" s="111"/>
    </row>
    <row r="29" spans="1:65" x14ac:dyDescent="0.2">
      <c r="A29" s="18">
        <v>7</v>
      </c>
      <c r="B29" s="175"/>
      <c r="C29" s="170"/>
      <c r="D29" s="128"/>
      <c r="E29" s="128"/>
      <c r="F29" s="186"/>
      <c r="G29" s="187"/>
      <c r="H29" s="169"/>
      <c r="I29" s="170"/>
      <c r="J29" s="17">
        <f>IF($B29='אפיון מידה'!$P$38,$I$17,דגימה!$I$31)</f>
        <v>2</v>
      </c>
      <c r="K29" s="110"/>
      <c r="L29" s="110"/>
      <c r="M29" s="110"/>
      <c r="N29" s="110"/>
      <c r="O29" s="110"/>
      <c r="P29" s="110"/>
      <c r="Q29" s="110"/>
      <c r="R29" s="110"/>
      <c r="S29" s="110"/>
      <c r="T29" s="110"/>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1"/>
      <c r="BJ29" s="111"/>
      <c r="BK29" s="111"/>
      <c r="BL29" s="111"/>
    </row>
    <row r="30" spans="1:65" x14ac:dyDescent="0.2">
      <c r="A30" s="18">
        <v>8</v>
      </c>
      <c r="B30" s="175"/>
      <c r="C30" s="170"/>
      <c r="D30" s="128"/>
      <c r="E30" s="128"/>
      <c r="F30" s="176"/>
      <c r="G30" s="177"/>
      <c r="H30" s="169"/>
      <c r="I30" s="170"/>
      <c r="J30" s="17">
        <f>IF($B30='אפיון מידה'!$P$38,$I$17,דגימה!$I$31)</f>
        <v>2</v>
      </c>
      <c r="K30" s="110"/>
      <c r="L30" s="110"/>
      <c r="M30" s="110"/>
      <c r="N30" s="110"/>
      <c r="O30" s="110"/>
      <c r="P30" s="110"/>
      <c r="Q30" s="110"/>
      <c r="R30" s="110"/>
      <c r="S30" s="110"/>
      <c r="T30" s="110"/>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1"/>
      <c r="BJ30" s="111"/>
      <c r="BK30" s="111"/>
      <c r="BL30" s="111"/>
    </row>
    <row r="31" spans="1:65" x14ac:dyDescent="0.2">
      <c r="A31" s="18">
        <v>9</v>
      </c>
      <c r="B31" s="175"/>
      <c r="C31" s="170"/>
      <c r="D31" s="128"/>
      <c r="E31" s="128"/>
      <c r="F31" s="186"/>
      <c r="G31" s="187"/>
      <c r="H31" s="169"/>
      <c r="I31" s="170"/>
      <c r="J31" s="17">
        <f>IF($B31='אפיון מידה'!$P$38,$I$17,דגימה!$I$31)</f>
        <v>2</v>
      </c>
      <c r="K31" s="110"/>
      <c r="L31" s="110"/>
      <c r="M31" s="110"/>
      <c r="N31" s="110"/>
      <c r="O31" s="110"/>
      <c r="P31" s="110"/>
      <c r="Q31" s="110"/>
      <c r="R31" s="110"/>
      <c r="S31" s="110"/>
      <c r="T31" s="110"/>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1"/>
      <c r="BJ31" s="111"/>
      <c r="BK31" s="111"/>
      <c r="BL31" s="111"/>
    </row>
    <row r="32" spans="1:65" x14ac:dyDescent="0.2">
      <c r="A32" s="18">
        <v>10</v>
      </c>
      <c r="B32" s="175"/>
      <c r="C32" s="170"/>
      <c r="D32" s="128"/>
      <c r="E32" s="128"/>
      <c r="F32" s="176"/>
      <c r="G32" s="177"/>
      <c r="H32" s="169"/>
      <c r="I32" s="170"/>
      <c r="J32" s="17">
        <f>IF($B32='אפיון מידה'!$P$38,$I$17,דגימה!$I$31)</f>
        <v>2</v>
      </c>
      <c r="K32" s="110"/>
      <c r="L32" s="110"/>
      <c r="M32" s="110"/>
      <c r="N32" s="110"/>
      <c r="O32" s="110"/>
      <c r="P32" s="110"/>
      <c r="Q32" s="110"/>
      <c r="R32" s="110"/>
      <c r="S32" s="110"/>
      <c r="T32" s="110"/>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1"/>
      <c r="BJ32" s="111"/>
      <c r="BK32" s="111"/>
      <c r="BL32" s="111"/>
    </row>
    <row r="33" spans="1:64" x14ac:dyDescent="0.2">
      <c r="A33" s="18">
        <v>11</v>
      </c>
      <c r="B33" s="175"/>
      <c r="C33" s="170"/>
      <c r="D33" s="128"/>
      <c r="E33" s="128"/>
      <c r="F33" s="176"/>
      <c r="G33" s="177"/>
      <c r="H33" s="169"/>
      <c r="I33" s="170"/>
      <c r="J33" s="17">
        <f>IF($B33='אפיון מידה'!$P$38,$I$17,דגימה!$I$31)</f>
        <v>2</v>
      </c>
      <c r="K33" s="110"/>
      <c r="L33" s="110"/>
      <c r="M33" s="110"/>
      <c r="N33" s="110"/>
      <c r="O33" s="110"/>
      <c r="P33" s="110"/>
      <c r="Q33" s="110"/>
      <c r="R33" s="110"/>
      <c r="S33" s="110"/>
      <c r="T33" s="110"/>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1"/>
      <c r="BJ33" s="111"/>
      <c r="BK33" s="111"/>
      <c r="BL33" s="111"/>
    </row>
    <row r="34" spans="1:64" x14ac:dyDescent="0.2">
      <c r="A34" s="18">
        <v>12</v>
      </c>
      <c r="B34" s="175"/>
      <c r="C34" s="170"/>
      <c r="D34" s="128"/>
      <c r="E34" s="128"/>
      <c r="F34" s="176"/>
      <c r="G34" s="177"/>
      <c r="H34" s="169"/>
      <c r="I34" s="170"/>
      <c r="J34" s="17">
        <f>IF($B34='אפיון מידה'!$P$38,$I$17,דגימה!$I$31)</f>
        <v>2</v>
      </c>
      <c r="K34" s="110"/>
      <c r="L34" s="110"/>
      <c r="M34" s="110"/>
      <c r="N34" s="110"/>
      <c r="O34" s="110"/>
      <c r="P34" s="110"/>
      <c r="Q34" s="110"/>
      <c r="R34" s="110"/>
      <c r="S34" s="110"/>
      <c r="T34" s="110"/>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1"/>
      <c r="BJ34" s="111"/>
      <c r="BK34" s="111"/>
      <c r="BL34" s="111"/>
    </row>
    <row r="35" spans="1:64" x14ac:dyDescent="0.2">
      <c r="A35" s="18">
        <v>13</v>
      </c>
      <c r="B35" s="175"/>
      <c r="C35" s="170"/>
      <c r="D35" s="128"/>
      <c r="E35" s="128"/>
      <c r="F35" s="176"/>
      <c r="G35" s="177"/>
      <c r="H35" s="169"/>
      <c r="I35" s="170"/>
      <c r="J35" s="17">
        <f>IF($B35='אפיון מידה'!$P$38,$I$17,דגימה!$I$31)</f>
        <v>2</v>
      </c>
      <c r="K35" s="110"/>
      <c r="L35" s="110"/>
      <c r="M35" s="110"/>
      <c r="N35" s="110"/>
      <c r="O35" s="110"/>
      <c r="P35" s="110"/>
      <c r="Q35" s="110"/>
      <c r="R35" s="110"/>
      <c r="S35" s="110"/>
      <c r="T35" s="110"/>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1"/>
      <c r="BJ35" s="111"/>
      <c r="BK35" s="111"/>
      <c r="BL35" s="111"/>
    </row>
    <row r="36" spans="1:64" x14ac:dyDescent="0.2">
      <c r="A36" s="18">
        <v>14</v>
      </c>
      <c r="B36" s="175"/>
      <c r="C36" s="170"/>
      <c r="D36" s="128"/>
      <c r="E36" s="128"/>
      <c r="F36" s="176"/>
      <c r="G36" s="177"/>
      <c r="H36" s="169"/>
      <c r="I36" s="170"/>
      <c r="J36" s="17">
        <f>IF($B36='אפיון מידה'!$P$38,$I$17,דגימה!$I$31)</f>
        <v>2</v>
      </c>
      <c r="K36" s="110"/>
      <c r="L36" s="110"/>
      <c r="M36" s="110"/>
      <c r="N36" s="110"/>
      <c r="O36" s="110"/>
      <c r="P36" s="110"/>
      <c r="Q36" s="110"/>
      <c r="R36" s="110"/>
      <c r="S36" s="110"/>
      <c r="T36" s="110"/>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3"/>
      <c r="BG36" s="112"/>
      <c r="BH36" s="112"/>
      <c r="BI36" s="111"/>
      <c r="BJ36" s="111"/>
      <c r="BK36" s="111"/>
      <c r="BL36" s="111"/>
    </row>
    <row r="37" spans="1:64" x14ac:dyDescent="0.2">
      <c r="A37" s="18">
        <v>15</v>
      </c>
      <c r="B37" s="175"/>
      <c r="C37" s="170"/>
      <c r="D37" s="128"/>
      <c r="E37" s="128"/>
      <c r="F37" s="176"/>
      <c r="G37" s="177"/>
      <c r="H37" s="169"/>
      <c r="I37" s="170"/>
      <c r="J37" s="17">
        <f>IF($B37='אפיון מידה'!$P$38,$I$17,דגימה!$I$31)</f>
        <v>2</v>
      </c>
      <c r="K37" s="110"/>
      <c r="L37" s="110"/>
      <c r="M37" s="110"/>
      <c r="N37" s="110"/>
      <c r="O37" s="110"/>
      <c r="P37" s="110"/>
      <c r="Q37" s="110"/>
      <c r="R37" s="110"/>
      <c r="S37" s="110"/>
      <c r="T37" s="110"/>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1"/>
      <c r="BJ37" s="111"/>
      <c r="BK37" s="111"/>
      <c r="BL37" s="111"/>
    </row>
    <row r="38" spans="1:64" x14ac:dyDescent="0.2">
      <c r="A38" s="18">
        <v>16</v>
      </c>
      <c r="B38" s="175"/>
      <c r="C38" s="170"/>
      <c r="D38" s="128"/>
      <c r="E38" s="128"/>
      <c r="F38" s="176"/>
      <c r="G38" s="177"/>
      <c r="H38" s="169"/>
      <c r="I38" s="170"/>
      <c r="J38" s="17">
        <f>IF($B38='אפיון מידה'!$P$38,$I$17,דגימה!$I$31)</f>
        <v>2</v>
      </c>
      <c r="K38" s="110"/>
      <c r="L38" s="110"/>
      <c r="M38" s="110"/>
      <c r="N38" s="110"/>
      <c r="O38" s="110"/>
      <c r="P38" s="110"/>
      <c r="Q38" s="110"/>
      <c r="R38" s="110"/>
      <c r="S38" s="110"/>
      <c r="T38" s="110"/>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1"/>
      <c r="BJ38" s="111"/>
      <c r="BK38" s="111"/>
      <c r="BL38" s="111"/>
    </row>
    <row r="39" spans="1:64" x14ac:dyDescent="0.2">
      <c r="A39" s="18">
        <v>17</v>
      </c>
      <c r="B39" s="175"/>
      <c r="C39" s="170"/>
      <c r="D39" s="128"/>
      <c r="E39" s="128"/>
      <c r="F39" s="176"/>
      <c r="G39" s="177"/>
      <c r="H39" s="169"/>
      <c r="I39" s="170"/>
      <c r="J39" s="17">
        <f>IF($B39='אפיון מידה'!$P$38,$I$17,דגימה!$I$31)</f>
        <v>2</v>
      </c>
      <c r="K39" s="110"/>
      <c r="L39" s="110"/>
      <c r="M39" s="110"/>
      <c r="N39" s="110"/>
      <c r="O39" s="110"/>
      <c r="P39" s="110"/>
      <c r="Q39" s="110"/>
      <c r="R39" s="110"/>
      <c r="S39" s="110"/>
      <c r="T39" s="110"/>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1"/>
      <c r="BJ39" s="111"/>
      <c r="BK39" s="111"/>
      <c r="BL39" s="111"/>
    </row>
    <row r="40" spans="1:64" x14ac:dyDescent="0.2">
      <c r="A40" s="18">
        <v>18</v>
      </c>
      <c r="B40" s="175"/>
      <c r="C40" s="170"/>
      <c r="D40" s="128"/>
      <c r="E40" s="128"/>
      <c r="F40" s="176"/>
      <c r="G40" s="177"/>
      <c r="H40" s="169"/>
      <c r="I40" s="170"/>
      <c r="J40" s="17">
        <f>IF($B40='אפיון מידה'!$P$38,$I$17,דגימה!$I$31)</f>
        <v>2</v>
      </c>
      <c r="K40" s="110"/>
      <c r="L40" s="110"/>
      <c r="M40" s="110"/>
      <c r="N40" s="110"/>
      <c r="O40" s="110"/>
      <c r="P40" s="110"/>
      <c r="Q40" s="110"/>
      <c r="R40" s="110"/>
      <c r="S40" s="110"/>
      <c r="T40" s="110"/>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1"/>
      <c r="BJ40" s="111"/>
      <c r="BK40" s="111"/>
      <c r="BL40" s="111"/>
    </row>
    <row r="41" spans="1:64" x14ac:dyDescent="0.2">
      <c r="A41" s="18">
        <v>19</v>
      </c>
      <c r="B41" s="175"/>
      <c r="C41" s="170"/>
      <c r="D41" s="128"/>
      <c r="E41" s="128"/>
      <c r="F41" s="176"/>
      <c r="G41" s="177"/>
      <c r="H41" s="169"/>
      <c r="I41" s="170"/>
      <c r="J41" s="17">
        <f>IF($B41='אפיון מידה'!$P$38,$I$17,דגימה!$I$31)</f>
        <v>2</v>
      </c>
      <c r="K41" s="110"/>
      <c r="L41" s="110"/>
      <c r="M41" s="110"/>
      <c r="N41" s="110"/>
      <c r="O41" s="110"/>
      <c r="P41" s="110"/>
      <c r="Q41" s="110"/>
      <c r="R41" s="110"/>
      <c r="S41" s="110"/>
      <c r="T41" s="110"/>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1"/>
      <c r="BJ41" s="111"/>
      <c r="BK41" s="111"/>
      <c r="BL41" s="111"/>
    </row>
    <row r="42" spans="1:64" x14ac:dyDescent="0.2">
      <c r="A42" s="18">
        <v>20</v>
      </c>
      <c r="B42" s="175"/>
      <c r="C42" s="170"/>
      <c r="D42" s="128"/>
      <c r="E42" s="128"/>
      <c r="F42" s="176"/>
      <c r="G42" s="177"/>
      <c r="H42" s="169"/>
      <c r="I42" s="170"/>
      <c r="J42" s="17">
        <f>IF($B42='אפיון מידה'!$P$38,$I$17,דגימה!$I$31)</f>
        <v>2</v>
      </c>
      <c r="K42" s="110"/>
      <c r="L42" s="110"/>
      <c r="M42" s="110"/>
      <c r="N42" s="110"/>
      <c r="O42" s="110"/>
      <c r="P42" s="110"/>
      <c r="Q42" s="110"/>
      <c r="R42" s="110"/>
      <c r="S42" s="110"/>
      <c r="T42" s="110"/>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1"/>
      <c r="BJ42" s="111"/>
      <c r="BK42" s="111"/>
      <c r="BL42" s="111"/>
    </row>
    <row r="43" spans="1:64" x14ac:dyDescent="0.2">
      <c r="A43" s="18">
        <v>21</v>
      </c>
      <c r="B43" s="175"/>
      <c r="C43" s="170"/>
      <c r="D43" s="128"/>
      <c r="E43" s="128"/>
      <c r="F43" s="176"/>
      <c r="G43" s="177"/>
      <c r="H43" s="169"/>
      <c r="I43" s="170"/>
      <c r="J43" s="17">
        <f>IF($B43='אפיון מידה'!$P$38,$I$17,דגימה!$I$31)</f>
        <v>2</v>
      </c>
      <c r="K43" s="110"/>
      <c r="L43" s="110"/>
      <c r="M43" s="110"/>
      <c r="N43" s="110"/>
      <c r="O43" s="110"/>
      <c r="P43" s="110"/>
      <c r="Q43" s="110"/>
      <c r="R43" s="110"/>
      <c r="S43" s="110"/>
      <c r="T43" s="110"/>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1"/>
      <c r="BJ43" s="111"/>
      <c r="BK43" s="111"/>
      <c r="BL43" s="111"/>
    </row>
    <row r="44" spans="1:64" x14ac:dyDescent="0.2">
      <c r="A44" s="18">
        <v>22</v>
      </c>
      <c r="B44" s="175"/>
      <c r="C44" s="170"/>
      <c r="D44" s="128"/>
      <c r="E44" s="128"/>
      <c r="F44" s="176"/>
      <c r="G44" s="177"/>
      <c r="H44" s="169"/>
      <c r="I44" s="170"/>
      <c r="J44" s="17">
        <f>IF($B44='אפיון מידה'!$P$38,$I$17,דגימה!$I$31)</f>
        <v>2</v>
      </c>
      <c r="K44" s="110"/>
      <c r="L44" s="110"/>
      <c r="M44" s="110"/>
      <c r="N44" s="110"/>
      <c r="O44" s="110"/>
      <c r="P44" s="110"/>
      <c r="Q44" s="110"/>
      <c r="R44" s="110"/>
      <c r="S44" s="110"/>
      <c r="T44" s="110"/>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1"/>
      <c r="BJ44" s="111"/>
      <c r="BK44" s="111"/>
      <c r="BL44" s="111"/>
    </row>
    <row r="45" spans="1:64" x14ac:dyDescent="0.2">
      <c r="A45" s="18">
        <v>23</v>
      </c>
      <c r="B45" s="175"/>
      <c r="C45" s="170"/>
      <c r="D45" s="128"/>
      <c r="E45" s="128"/>
      <c r="F45" s="176"/>
      <c r="G45" s="177"/>
      <c r="H45" s="169"/>
      <c r="I45" s="170"/>
      <c r="J45" s="17">
        <f>IF($B45='אפיון מידה'!$P$38,$I$17,דגימה!$I$31)</f>
        <v>2</v>
      </c>
      <c r="K45" s="110"/>
      <c r="L45" s="110"/>
      <c r="M45" s="110"/>
      <c r="N45" s="110"/>
      <c r="O45" s="110"/>
      <c r="P45" s="110"/>
      <c r="Q45" s="110"/>
      <c r="R45" s="110"/>
      <c r="S45" s="110"/>
      <c r="T45" s="110"/>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1"/>
      <c r="BJ45" s="111"/>
      <c r="BK45" s="111"/>
      <c r="BL45" s="111"/>
    </row>
    <row r="46" spans="1:64" x14ac:dyDescent="0.2">
      <c r="A46" s="18">
        <v>24</v>
      </c>
      <c r="B46" s="175"/>
      <c r="C46" s="170"/>
      <c r="D46" s="128"/>
      <c r="E46" s="128"/>
      <c r="F46" s="176"/>
      <c r="G46" s="177"/>
      <c r="H46" s="169"/>
      <c r="I46" s="170"/>
      <c r="J46" s="17">
        <f>IF($B46='אפיון מידה'!$P$38,$I$17,דגימה!$I$31)</f>
        <v>2</v>
      </c>
      <c r="K46" s="110"/>
      <c r="L46" s="110"/>
      <c r="M46" s="110"/>
      <c r="N46" s="110"/>
      <c r="O46" s="110"/>
      <c r="P46" s="110"/>
      <c r="Q46" s="110"/>
      <c r="R46" s="110"/>
      <c r="S46" s="110"/>
      <c r="T46" s="110"/>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1"/>
      <c r="BJ46" s="111"/>
      <c r="BK46" s="111"/>
      <c r="BL46" s="111"/>
    </row>
    <row r="47" spans="1:64" x14ac:dyDescent="0.2">
      <c r="A47" s="18">
        <v>25</v>
      </c>
      <c r="B47" s="175"/>
      <c r="C47" s="170"/>
      <c r="D47" s="128"/>
      <c r="E47" s="128"/>
      <c r="F47" s="176"/>
      <c r="G47" s="177"/>
      <c r="H47" s="169"/>
      <c r="I47" s="170"/>
      <c r="J47" s="17">
        <f>IF($B47='אפיון מידה'!$P$38,$I$17,דגימה!$I$31)</f>
        <v>2</v>
      </c>
      <c r="K47" s="110"/>
      <c r="L47" s="110"/>
      <c r="M47" s="110"/>
      <c r="N47" s="110"/>
      <c r="O47" s="110"/>
      <c r="P47" s="110"/>
      <c r="Q47" s="110"/>
      <c r="R47" s="110"/>
      <c r="S47" s="110"/>
      <c r="T47" s="110"/>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1"/>
      <c r="BJ47" s="111"/>
      <c r="BK47" s="111"/>
      <c r="BL47" s="111"/>
    </row>
    <row r="48" spans="1:64" x14ac:dyDescent="0.2">
      <c r="A48" s="18">
        <v>26</v>
      </c>
      <c r="B48" s="175"/>
      <c r="C48" s="170"/>
      <c r="D48" s="128"/>
      <c r="E48" s="128"/>
      <c r="F48" s="176"/>
      <c r="G48" s="177"/>
      <c r="H48" s="169"/>
      <c r="I48" s="170"/>
      <c r="J48" s="17">
        <f>IF($B48='אפיון מידה'!$P$38,$I$17,דגימה!$I$31)</f>
        <v>2</v>
      </c>
      <c r="K48" s="110"/>
      <c r="L48" s="110"/>
      <c r="M48" s="110"/>
      <c r="N48" s="110"/>
      <c r="O48" s="110"/>
      <c r="P48" s="110"/>
      <c r="Q48" s="110"/>
      <c r="R48" s="110"/>
      <c r="S48" s="110"/>
      <c r="T48" s="110"/>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1"/>
      <c r="BJ48" s="111"/>
      <c r="BK48" s="111"/>
      <c r="BL48" s="111"/>
    </row>
    <row r="49" spans="1:64" x14ac:dyDescent="0.2">
      <c r="A49" s="18">
        <v>27</v>
      </c>
      <c r="B49" s="175"/>
      <c r="C49" s="170"/>
      <c r="D49" s="128"/>
      <c r="E49" s="128"/>
      <c r="F49" s="176"/>
      <c r="G49" s="177"/>
      <c r="H49" s="169"/>
      <c r="I49" s="170"/>
      <c r="J49" s="17">
        <f>IF($B49='אפיון מידה'!$P$38,$I$17,דגימה!$I$31)</f>
        <v>2</v>
      </c>
      <c r="K49" s="110"/>
      <c r="L49" s="110"/>
      <c r="M49" s="110"/>
      <c r="N49" s="110"/>
      <c r="O49" s="110"/>
      <c r="P49" s="110"/>
      <c r="Q49" s="110"/>
      <c r="R49" s="110"/>
      <c r="S49" s="110"/>
      <c r="T49" s="110"/>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1"/>
      <c r="BJ49" s="111"/>
      <c r="BK49" s="111"/>
      <c r="BL49" s="111"/>
    </row>
    <row r="50" spans="1:64" x14ac:dyDescent="0.2">
      <c r="A50" s="18">
        <v>28</v>
      </c>
      <c r="B50" s="175"/>
      <c r="C50" s="170"/>
      <c r="D50" s="128"/>
      <c r="E50" s="128"/>
      <c r="F50" s="176"/>
      <c r="G50" s="177"/>
      <c r="H50" s="169"/>
      <c r="I50" s="170"/>
      <c r="J50" s="17">
        <f>IF($B50='אפיון מידה'!$P$38,$I$17,דגימה!$I$31)</f>
        <v>2</v>
      </c>
      <c r="K50" s="110"/>
      <c r="L50" s="110"/>
      <c r="M50" s="110"/>
      <c r="N50" s="110"/>
      <c r="O50" s="110"/>
      <c r="P50" s="110"/>
      <c r="Q50" s="110"/>
      <c r="R50" s="110"/>
      <c r="S50" s="110"/>
      <c r="T50" s="110"/>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1"/>
      <c r="BJ50" s="111"/>
      <c r="BK50" s="111"/>
      <c r="BL50" s="111"/>
    </row>
    <row r="51" spans="1:64" x14ac:dyDescent="0.2">
      <c r="A51" s="18">
        <v>29</v>
      </c>
      <c r="B51" s="175"/>
      <c r="C51" s="170"/>
      <c r="D51" s="128"/>
      <c r="E51" s="128"/>
      <c r="F51" s="176"/>
      <c r="G51" s="177"/>
      <c r="H51" s="169"/>
      <c r="I51" s="170"/>
      <c r="J51" s="17">
        <f>IF($B51='אפיון מידה'!$P$38,$I$17,דגימה!$I$31)</f>
        <v>2</v>
      </c>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1"/>
      <c r="BJ51" s="111"/>
      <c r="BK51" s="111"/>
      <c r="BL51" s="111"/>
    </row>
    <row r="52" spans="1:64" x14ac:dyDescent="0.2">
      <c r="A52" s="18">
        <v>30</v>
      </c>
      <c r="B52" s="175"/>
      <c r="C52" s="170"/>
      <c r="D52" s="128"/>
      <c r="E52" s="128"/>
      <c r="F52" s="176"/>
      <c r="G52" s="177"/>
      <c r="H52" s="169"/>
      <c r="I52" s="170"/>
      <c r="J52" s="17">
        <f>IF($B52='אפיון מידה'!$P$38,$I$17,דגימה!$I$31)</f>
        <v>2</v>
      </c>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1"/>
      <c r="BJ52" s="111"/>
      <c r="BK52" s="111"/>
      <c r="BL52" s="111"/>
    </row>
    <row r="53" spans="1:64" x14ac:dyDescent="0.2">
      <c r="A53" s="18">
        <v>31</v>
      </c>
      <c r="B53" s="175"/>
      <c r="C53" s="170"/>
      <c r="D53" s="128"/>
      <c r="E53" s="128"/>
      <c r="F53" s="176"/>
      <c r="G53" s="177"/>
      <c r="H53" s="169"/>
      <c r="I53" s="170"/>
      <c r="J53" s="17">
        <f>IF($B53='אפיון מידה'!$P$38,$I$17,דגימה!$I$31)</f>
        <v>2</v>
      </c>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1"/>
      <c r="BJ53" s="111"/>
      <c r="BK53" s="111"/>
      <c r="BL53" s="111"/>
    </row>
    <row r="54" spans="1:64" x14ac:dyDescent="0.2">
      <c r="A54" s="18">
        <v>32</v>
      </c>
      <c r="B54" s="175"/>
      <c r="C54" s="170"/>
      <c r="D54" s="128"/>
      <c r="E54" s="128"/>
      <c r="F54" s="176"/>
      <c r="G54" s="177"/>
      <c r="H54" s="169"/>
      <c r="I54" s="170"/>
      <c r="J54" s="17">
        <f>IF($B54='אפיון מידה'!$P$38,$I$17,דגימה!$I$31)</f>
        <v>2</v>
      </c>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1"/>
      <c r="BJ54" s="111"/>
      <c r="BK54" s="111"/>
      <c r="BL54" s="111"/>
    </row>
    <row r="55" spans="1:64" x14ac:dyDescent="0.2">
      <c r="A55" s="18">
        <v>33</v>
      </c>
      <c r="B55" s="175"/>
      <c r="C55" s="170"/>
      <c r="D55" s="128"/>
      <c r="E55" s="128"/>
      <c r="F55" s="176"/>
      <c r="G55" s="177"/>
      <c r="H55" s="169"/>
      <c r="I55" s="170"/>
      <c r="J55" s="17">
        <f>IF($B55='אפיון מידה'!$P$38,$I$17,דגימה!$I$31)</f>
        <v>2</v>
      </c>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1"/>
      <c r="BJ55" s="111"/>
      <c r="BK55" s="111"/>
      <c r="BL55" s="111"/>
    </row>
    <row r="56" spans="1:64" x14ac:dyDescent="0.2">
      <c r="A56" s="18">
        <v>34</v>
      </c>
      <c r="B56" s="175"/>
      <c r="C56" s="170"/>
      <c r="D56" s="128"/>
      <c r="E56" s="128"/>
      <c r="F56" s="176"/>
      <c r="G56" s="177"/>
      <c r="H56" s="169"/>
      <c r="I56" s="170"/>
      <c r="J56" s="17">
        <f>IF($B56='אפיון מידה'!$P$38,$I$17,דגימה!$I$31)</f>
        <v>2</v>
      </c>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1"/>
      <c r="BJ56" s="111"/>
      <c r="BK56" s="111"/>
      <c r="BL56" s="111"/>
    </row>
    <row r="57" spans="1:64" x14ac:dyDescent="0.2">
      <c r="A57" s="18">
        <v>35</v>
      </c>
      <c r="B57" s="175"/>
      <c r="C57" s="170"/>
      <c r="D57" s="128"/>
      <c r="E57" s="128"/>
      <c r="F57" s="176"/>
      <c r="G57" s="177"/>
      <c r="H57" s="169"/>
      <c r="I57" s="170"/>
      <c r="J57" s="17">
        <f>IF($B57='אפיון מידה'!$P$38,$I$17,דגימה!$I$31)</f>
        <v>2</v>
      </c>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1"/>
      <c r="BJ57" s="111"/>
      <c r="BK57" s="111"/>
      <c r="BL57" s="111"/>
    </row>
    <row r="58" spans="1:64" x14ac:dyDescent="0.2">
      <c r="A58" s="18">
        <v>36</v>
      </c>
      <c r="B58" s="175"/>
      <c r="C58" s="170"/>
      <c r="D58" s="128"/>
      <c r="E58" s="128"/>
      <c r="F58" s="176"/>
      <c r="G58" s="177"/>
      <c r="H58" s="169"/>
      <c r="I58" s="170"/>
      <c r="J58" s="17">
        <f>IF($B58='אפיון מידה'!$P$38,$I$17,דגימה!$I$31)</f>
        <v>2</v>
      </c>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1"/>
      <c r="BJ58" s="111"/>
      <c r="BK58" s="111"/>
      <c r="BL58" s="111"/>
    </row>
    <row r="59" spans="1:64" x14ac:dyDescent="0.2">
      <c r="A59" s="18">
        <v>37</v>
      </c>
      <c r="B59" s="175"/>
      <c r="C59" s="170"/>
      <c r="D59" s="128"/>
      <c r="E59" s="128"/>
      <c r="F59" s="176"/>
      <c r="G59" s="177"/>
      <c r="H59" s="169"/>
      <c r="I59" s="170"/>
      <c r="J59" s="17">
        <f>IF($B59='אפיון מידה'!$P$38,$I$17,דגימה!$I$31)</f>
        <v>2</v>
      </c>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1"/>
      <c r="BJ59" s="111"/>
      <c r="BK59" s="111"/>
      <c r="BL59" s="111"/>
    </row>
    <row r="60" spans="1:64" x14ac:dyDescent="0.2">
      <c r="A60" s="18">
        <v>38</v>
      </c>
      <c r="B60" s="175"/>
      <c r="C60" s="170"/>
      <c r="D60" s="128"/>
      <c r="E60" s="128"/>
      <c r="F60" s="176"/>
      <c r="G60" s="177"/>
      <c r="H60" s="169"/>
      <c r="I60" s="170"/>
      <c r="J60" s="17">
        <f>IF($B60='אפיון מידה'!$P$38,$I$17,דגימה!$I$31)</f>
        <v>2</v>
      </c>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1"/>
      <c r="BJ60" s="111"/>
      <c r="BK60" s="111"/>
      <c r="BL60" s="111"/>
    </row>
    <row r="61" spans="1:64" x14ac:dyDescent="0.2">
      <c r="A61" s="18">
        <v>39</v>
      </c>
      <c r="B61" s="175"/>
      <c r="C61" s="170"/>
      <c r="D61" s="128"/>
      <c r="E61" s="128"/>
      <c r="F61" s="176"/>
      <c r="G61" s="177"/>
      <c r="H61" s="169"/>
      <c r="I61" s="170"/>
      <c r="J61" s="17">
        <f>IF($B61='אפיון מידה'!$P$38,$I$17,דגימה!$I$31)</f>
        <v>2</v>
      </c>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1"/>
      <c r="BJ61" s="111"/>
      <c r="BK61" s="111"/>
      <c r="BL61" s="111"/>
    </row>
    <row r="62" spans="1:64" x14ac:dyDescent="0.2">
      <c r="A62" s="18">
        <v>40</v>
      </c>
      <c r="B62" s="175"/>
      <c r="C62" s="170"/>
      <c r="D62" s="128"/>
      <c r="E62" s="128"/>
      <c r="F62" s="176"/>
      <c r="G62" s="177"/>
      <c r="H62" s="169"/>
      <c r="I62" s="170"/>
      <c r="J62" s="17">
        <f>IF($B62='אפיון מידה'!$P$38,$I$17,דגימה!$I$31)</f>
        <v>2</v>
      </c>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1"/>
      <c r="BJ62" s="111"/>
      <c r="BK62" s="111"/>
      <c r="BL62" s="111"/>
    </row>
    <row r="63" spans="1:64" x14ac:dyDescent="0.2">
      <c r="A63" s="18">
        <v>41</v>
      </c>
      <c r="B63" s="175"/>
      <c r="C63" s="170"/>
      <c r="D63" s="128"/>
      <c r="E63" s="128"/>
      <c r="F63" s="176"/>
      <c r="G63" s="177"/>
      <c r="H63" s="169"/>
      <c r="I63" s="170"/>
      <c r="J63" s="17">
        <f>IF($B63='אפיון מידה'!$P$38,$I$17,דגימה!$I$31)</f>
        <v>2</v>
      </c>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1"/>
      <c r="BJ63" s="111"/>
      <c r="BK63" s="111"/>
      <c r="BL63" s="111"/>
    </row>
    <row r="64" spans="1:64" x14ac:dyDescent="0.2">
      <c r="A64" s="18">
        <v>42</v>
      </c>
      <c r="B64" s="175"/>
      <c r="C64" s="170"/>
      <c r="D64" s="128"/>
      <c r="E64" s="128"/>
      <c r="F64" s="176"/>
      <c r="G64" s="177"/>
      <c r="H64" s="169"/>
      <c r="I64" s="170"/>
      <c r="J64" s="17">
        <f>IF($B64='אפיון מידה'!$P$38,$I$17,דגימה!$I$31)</f>
        <v>2</v>
      </c>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1"/>
      <c r="BJ64" s="111"/>
      <c r="BK64" s="111"/>
      <c r="BL64" s="111"/>
    </row>
    <row r="65" spans="1:64" x14ac:dyDescent="0.2">
      <c r="A65" s="18">
        <v>43</v>
      </c>
      <c r="B65" s="175"/>
      <c r="C65" s="170"/>
      <c r="D65" s="128"/>
      <c r="E65" s="128"/>
      <c r="F65" s="176"/>
      <c r="G65" s="177"/>
      <c r="H65" s="169"/>
      <c r="I65" s="170"/>
      <c r="J65" s="17">
        <f>IF($B65='אפיון מידה'!$P$38,$I$17,דגימה!$I$31)</f>
        <v>2</v>
      </c>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1"/>
      <c r="BJ65" s="111"/>
      <c r="BK65" s="111"/>
      <c r="BL65" s="111"/>
    </row>
    <row r="66" spans="1:64" x14ac:dyDescent="0.2">
      <c r="A66" s="18">
        <v>44</v>
      </c>
      <c r="B66" s="175"/>
      <c r="C66" s="170"/>
      <c r="D66" s="128"/>
      <c r="E66" s="128"/>
      <c r="F66" s="176"/>
      <c r="G66" s="177"/>
      <c r="H66" s="169"/>
      <c r="I66" s="170"/>
      <c r="J66" s="17">
        <f>IF($B66='אפיון מידה'!$P$38,$I$17,דגימה!$I$31)</f>
        <v>2</v>
      </c>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1"/>
      <c r="BJ66" s="111"/>
      <c r="BK66" s="111"/>
      <c r="BL66" s="111"/>
    </row>
    <row r="67" spans="1:64" x14ac:dyDescent="0.2">
      <c r="A67" s="18">
        <v>45</v>
      </c>
      <c r="B67" s="175"/>
      <c r="C67" s="170"/>
      <c r="D67" s="128"/>
      <c r="E67" s="128"/>
      <c r="F67" s="176"/>
      <c r="G67" s="177"/>
      <c r="H67" s="169"/>
      <c r="I67" s="170"/>
      <c r="J67" s="17">
        <f>IF($B67='אפיון מידה'!$P$38,$I$17,דגימה!$I$31)</f>
        <v>2</v>
      </c>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1"/>
      <c r="BJ67" s="111"/>
      <c r="BK67" s="111"/>
      <c r="BL67" s="111"/>
    </row>
    <row r="68" spans="1:64" x14ac:dyDescent="0.2">
      <c r="A68" s="18">
        <v>46</v>
      </c>
      <c r="B68" s="175"/>
      <c r="C68" s="170"/>
      <c r="D68" s="128"/>
      <c r="E68" s="128"/>
      <c r="F68" s="176"/>
      <c r="G68" s="177"/>
      <c r="H68" s="169"/>
      <c r="I68" s="170"/>
      <c r="J68" s="17">
        <f>IF($B68='אפיון מידה'!$P$38,$I$17,דגימה!$I$31)</f>
        <v>2</v>
      </c>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1"/>
      <c r="BJ68" s="111"/>
      <c r="BK68" s="111"/>
      <c r="BL68" s="111"/>
    </row>
    <row r="69" spans="1:64" x14ac:dyDescent="0.2">
      <c r="A69" s="18">
        <v>47</v>
      </c>
      <c r="B69" s="175"/>
      <c r="C69" s="170"/>
      <c r="D69" s="128"/>
      <c r="E69" s="128"/>
      <c r="F69" s="176"/>
      <c r="G69" s="177"/>
      <c r="H69" s="169"/>
      <c r="I69" s="170"/>
      <c r="J69" s="17">
        <f>IF($B69='אפיון מידה'!$P$38,$I$17,דגימה!$I$31)</f>
        <v>2</v>
      </c>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1"/>
      <c r="BJ69" s="111"/>
      <c r="BK69" s="111"/>
      <c r="BL69" s="111"/>
    </row>
    <row r="70" spans="1:64" x14ac:dyDescent="0.2">
      <c r="A70" s="18">
        <v>48</v>
      </c>
      <c r="B70" s="175"/>
      <c r="C70" s="170"/>
      <c r="D70" s="128"/>
      <c r="E70" s="128"/>
      <c r="F70" s="176"/>
      <c r="G70" s="177"/>
      <c r="H70" s="169"/>
      <c r="I70" s="170"/>
      <c r="J70" s="17">
        <f>IF($B70='אפיון מידה'!$P$38,$I$17,דגימה!$I$31)</f>
        <v>2</v>
      </c>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1"/>
      <c r="BJ70" s="111"/>
      <c r="BK70" s="111"/>
      <c r="BL70" s="111"/>
    </row>
    <row r="71" spans="1:64" x14ac:dyDescent="0.2">
      <c r="A71" s="18">
        <v>49</v>
      </c>
      <c r="B71" s="175"/>
      <c r="C71" s="170"/>
      <c r="D71" s="128"/>
      <c r="E71" s="128"/>
      <c r="F71" s="176"/>
      <c r="G71" s="177"/>
      <c r="H71" s="169"/>
      <c r="I71" s="170"/>
      <c r="J71" s="17">
        <f>IF($B71='אפיון מידה'!$P$38,$I$17,דגימה!$I$31)</f>
        <v>2</v>
      </c>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1"/>
      <c r="BJ71" s="111"/>
      <c r="BK71" s="111"/>
      <c r="BL71" s="111"/>
    </row>
    <row r="72" spans="1:64" x14ac:dyDescent="0.2">
      <c r="A72" s="18">
        <v>50</v>
      </c>
      <c r="B72" s="175"/>
      <c r="C72" s="170"/>
      <c r="D72" s="128"/>
      <c r="E72" s="128"/>
      <c r="F72" s="176"/>
      <c r="G72" s="177"/>
      <c r="H72" s="169"/>
      <c r="I72" s="170"/>
      <c r="J72" s="17">
        <f>IF($B72='אפיון מידה'!$P$38,$I$17,דגימה!$I$31)</f>
        <v>2</v>
      </c>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1"/>
      <c r="BJ72" s="111"/>
      <c r="BK72" s="111"/>
      <c r="BL72" s="111"/>
    </row>
    <row r="73" spans="1:64" x14ac:dyDescent="0.2">
      <c r="A73" s="18">
        <v>51</v>
      </c>
      <c r="B73" s="175"/>
      <c r="C73" s="170"/>
      <c r="D73" s="128"/>
      <c r="E73" s="128"/>
      <c r="F73" s="176"/>
      <c r="G73" s="177"/>
      <c r="H73" s="169"/>
      <c r="I73" s="170"/>
      <c r="J73" s="17">
        <f>IF($B73='אפיון מידה'!$P$38,$I$17,דגימה!$I$31)</f>
        <v>2</v>
      </c>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1"/>
      <c r="BJ73" s="111"/>
      <c r="BK73" s="111"/>
      <c r="BL73" s="111"/>
    </row>
    <row r="74" spans="1:64" x14ac:dyDescent="0.2">
      <c r="A74" s="18">
        <v>52</v>
      </c>
      <c r="B74" s="175"/>
      <c r="C74" s="170"/>
      <c r="D74" s="128"/>
      <c r="E74" s="128"/>
      <c r="F74" s="176"/>
      <c r="G74" s="177"/>
      <c r="H74" s="169"/>
      <c r="I74" s="170"/>
      <c r="J74" s="17">
        <f>IF($B74='אפיון מידה'!$P$38,$I$17,דגימה!$I$31)</f>
        <v>2</v>
      </c>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1"/>
      <c r="BJ74" s="111"/>
      <c r="BK74" s="111"/>
      <c r="BL74" s="111"/>
    </row>
    <row r="75" spans="1:64" ht="15" thickBot="1" x14ac:dyDescent="0.25">
      <c r="A75" s="19">
        <v>53</v>
      </c>
      <c r="B75" s="175"/>
      <c r="C75" s="170"/>
      <c r="D75" s="128"/>
      <c r="E75" s="128"/>
      <c r="F75" s="176"/>
      <c r="G75" s="177"/>
      <c r="H75" s="169"/>
      <c r="I75" s="170"/>
      <c r="J75" s="17">
        <f>IF($B75='אפיון מידה'!$P$38,$I$17,דגימה!$I$31)</f>
        <v>2</v>
      </c>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1"/>
      <c r="BJ75" s="111"/>
      <c r="BK75" s="111"/>
      <c r="BL75" s="111"/>
    </row>
    <row r="76" spans="1:64" x14ac:dyDescent="0.2">
      <c r="A76" s="18">
        <v>54</v>
      </c>
      <c r="B76" s="175"/>
      <c r="C76" s="170"/>
      <c r="D76" s="128"/>
      <c r="E76" s="128"/>
      <c r="F76" s="176"/>
      <c r="G76" s="177"/>
      <c r="H76" s="169"/>
      <c r="I76" s="170"/>
      <c r="J76" s="17">
        <f>IF($B76='אפיון מידה'!$P$38,$I$17,דגימה!$I$31)</f>
        <v>2</v>
      </c>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1"/>
      <c r="BJ76" s="111"/>
      <c r="BK76" s="111"/>
      <c r="BL76" s="111"/>
    </row>
    <row r="77" spans="1:64" x14ac:dyDescent="0.2">
      <c r="A77" s="18">
        <v>55</v>
      </c>
      <c r="B77" s="175"/>
      <c r="C77" s="170"/>
      <c r="D77" s="128"/>
      <c r="E77" s="128"/>
      <c r="F77" s="176"/>
      <c r="G77" s="177"/>
      <c r="H77" s="169"/>
      <c r="I77" s="170"/>
      <c r="J77" s="17">
        <f>IF($B77='אפיון מידה'!$P$38,$I$17,דגימה!$I$31)</f>
        <v>2</v>
      </c>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1"/>
      <c r="BJ77" s="111"/>
      <c r="BK77" s="111"/>
      <c r="BL77" s="111"/>
    </row>
    <row r="78" spans="1:64" x14ac:dyDescent="0.2">
      <c r="A78" s="18">
        <v>56</v>
      </c>
      <c r="B78" s="175"/>
      <c r="C78" s="170"/>
      <c r="D78" s="128"/>
      <c r="E78" s="128"/>
      <c r="F78" s="176"/>
      <c r="G78" s="177"/>
      <c r="H78" s="169"/>
      <c r="I78" s="170"/>
      <c r="J78" s="17">
        <f>IF($B78='אפיון מידה'!$P$38,$I$17,דגימה!$I$31)</f>
        <v>2</v>
      </c>
      <c r="K78" s="112"/>
      <c r="L78" s="112"/>
      <c r="M78" s="112"/>
      <c r="N78" s="112"/>
      <c r="O78" s="112"/>
      <c r="P78" s="112"/>
      <c r="Q78" s="112"/>
      <c r="R78" s="112"/>
      <c r="S78" s="112"/>
      <c r="T78" s="112"/>
      <c r="U78" s="112"/>
      <c r="V78" s="112"/>
      <c r="W78" s="112"/>
      <c r="X78" s="112"/>
      <c r="Y78" s="112"/>
      <c r="Z78" s="112">
        <v>0</v>
      </c>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1"/>
      <c r="BJ78" s="111"/>
      <c r="BK78" s="111"/>
      <c r="BL78" s="111"/>
    </row>
    <row r="79" spans="1:64" x14ac:dyDescent="0.2">
      <c r="A79" s="18">
        <v>57</v>
      </c>
      <c r="B79" s="175"/>
      <c r="C79" s="170"/>
      <c r="D79" s="128"/>
      <c r="E79" s="128"/>
      <c r="F79" s="176"/>
      <c r="G79" s="177"/>
      <c r="H79" s="169"/>
      <c r="I79" s="170"/>
      <c r="J79" s="17">
        <f>IF($B79='אפיון מידה'!$P$38,$I$17,דגימה!$I$31)</f>
        <v>2</v>
      </c>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1"/>
      <c r="BJ79" s="111"/>
      <c r="BK79" s="111"/>
      <c r="BL79" s="111"/>
    </row>
    <row r="80" spans="1:64" x14ac:dyDescent="0.2">
      <c r="A80" s="18">
        <v>58</v>
      </c>
      <c r="B80" s="175"/>
      <c r="C80" s="170"/>
      <c r="D80" s="128"/>
      <c r="E80" s="128"/>
      <c r="F80" s="176"/>
      <c r="G80" s="177"/>
      <c r="H80" s="169"/>
      <c r="I80" s="170"/>
      <c r="J80" s="17">
        <f>IF($B80='אפיון מידה'!$P$38,$I$17,דגימה!$I$31)</f>
        <v>2</v>
      </c>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1"/>
      <c r="BJ80" s="111"/>
      <c r="BK80" s="111"/>
      <c r="BL80" s="111"/>
    </row>
    <row r="81" spans="1:64" x14ac:dyDescent="0.2">
      <c r="A81" s="18">
        <v>59</v>
      </c>
      <c r="B81" s="175"/>
      <c r="C81" s="170"/>
      <c r="D81" s="128"/>
      <c r="E81" s="128"/>
      <c r="F81" s="176"/>
      <c r="G81" s="177"/>
      <c r="H81" s="169"/>
      <c r="I81" s="170"/>
      <c r="J81" s="17">
        <f>IF($B81='אפיון מידה'!$P$38,$I$17,דגימה!$I$31)</f>
        <v>2</v>
      </c>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1"/>
      <c r="BJ81" s="111"/>
      <c r="BK81" s="111"/>
      <c r="BL81" s="111"/>
    </row>
    <row r="82" spans="1:64" x14ac:dyDescent="0.2">
      <c r="A82" s="18">
        <v>60</v>
      </c>
      <c r="B82" s="175"/>
      <c r="C82" s="170"/>
      <c r="D82" s="128"/>
      <c r="E82" s="128"/>
      <c r="F82" s="176"/>
      <c r="G82" s="177"/>
      <c r="H82" s="169"/>
      <c r="I82" s="170"/>
      <c r="J82" s="17">
        <f>IF($B82='אפיון מידה'!$P$38,$I$17,דגימה!$I$31)</f>
        <v>2</v>
      </c>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1"/>
      <c r="BJ82" s="111"/>
      <c r="BK82" s="111"/>
      <c r="BL82" s="111"/>
    </row>
    <row r="83" spans="1:64" x14ac:dyDescent="0.2">
      <c r="A83" s="18">
        <v>61</v>
      </c>
      <c r="B83" s="175"/>
      <c r="C83" s="170"/>
      <c r="D83" s="128"/>
      <c r="E83" s="128"/>
      <c r="F83" s="176"/>
      <c r="G83" s="177"/>
      <c r="H83" s="169"/>
      <c r="I83" s="170"/>
      <c r="J83" s="17">
        <f>IF($B83='אפיון מידה'!$P$38,$I$17,דגימה!$I$31)</f>
        <v>2</v>
      </c>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1"/>
      <c r="BJ83" s="111"/>
      <c r="BK83" s="111"/>
      <c r="BL83" s="111"/>
    </row>
    <row r="84" spans="1:64" x14ac:dyDescent="0.2">
      <c r="A84" s="18">
        <v>62</v>
      </c>
      <c r="B84" s="175"/>
      <c r="C84" s="170"/>
      <c r="D84" s="128"/>
      <c r="E84" s="128"/>
      <c r="F84" s="176"/>
      <c r="G84" s="177"/>
      <c r="H84" s="169"/>
      <c r="I84" s="170"/>
      <c r="J84" s="17">
        <f>IF($B84='אפיון מידה'!$P$38,$I$17,דגימה!$I$31)</f>
        <v>2</v>
      </c>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1"/>
      <c r="BJ84" s="111"/>
      <c r="BK84" s="111"/>
      <c r="BL84" s="111"/>
    </row>
    <row r="85" spans="1:64" x14ac:dyDescent="0.2">
      <c r="A85" s="18">
        <v>63</v>
      </c>
      <c r="B85" s="175"/>
      <c r="C85" s="170"/>
      <c r="D85" s="128"/>
      <c r="E85" s="128"/>
      <c r="F85" s="176"/>
      <c r="G85" s="177"/>
      <c r="H85" s="169"/>
      <c r="I85" s="170"/>
      <c r="J85" s="17">
        <f>IF($B85='אפיון מידה'!$P$38,$I$17,דגימה!$I$31)</f>
        <v>2</v>
      </c>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1"/>
      <c r="BJ85" s="111"/>
      <c r="BK85" s="111"/>
      <c r="BL85" s="111"/>
    </row>
    <row r="86" spans="1:64" x14ac:dyDescent="0.2">
      <c r="A86" s="18">
        <v>64</v>
      </c>
      <c r="B86" s="175"/>
      <c r="C86" s="170"/>
      <c r="D86" s="128"/>
      <c r="E86" s="128"/>
      <c r="F86" s="176"/>
      <c r="G86" s="177"/>
      <c r="H86" s="169"/>
      <c r="I86" s="170"/>
      <c r="J86" s="17">
        <f>IF($B86='אפיון מידה'!$P$38,$I$17,דגימה!$I$31)</f>
        <v>2</v>
      </c>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1"/>
      <c r="BJ86" s="111"/>
      <c r="BK86" s="111"/>
      <c r="BL86" s="111"/>
    </row>
    <row r="87" spans="1:64" x14ac:dyDescent="0.2">
      <c r="A87" s="18">
        <v>65</v>
      </c>
      <c r="B87" s="175"/>
      <c r="C87" s="170"/>
      <c r="D87" s="128"/>
      <c r="E87" s="128"/>
      <c r="F87" s="176"/>
      <c r="G87" s="177"/>
      <c r="H87" s="169"/>
      <c r="I87" s="170"/>
      <c r="J87" s="17">
        <f>IF($B87='אפיון מידה'!$P$38,$I$17,דגימה!$I$31)</f>
        <v>2</v>
      </c>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1"/>
      <c r="BJ87" s="111"/>
      <c r="BK87" s="111"/>
      <c r="BL87" s="111"/>
    </row>
    <row r="88" spans="1:64" x14ac:dyDescent="0.2">
      <c r="A88" s="18">
        <v>66</v>
      </c>
      <c r="B88" s="175"/>
      <c r="C88" s="170"/>
      <c r="D88" s="128"/>
      <c r="E88" s="128"/>
      <c r="F88" s="176"/>
      <c r="G88" s="177"/>
      <c r="H88" s="169"/>
      <c r="I88" s="170"/>
      <c r="J88" s="17">
        <f>IF($B88='אפיון מידה'!$P$38,$I$17,דגימה!$I$31)</f>
        <v>2</v>
      </c>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1"/>
      <c r="BJ88" s="111"/>
      <c r="BK88" s="111"/>
      <c r="BL88" s="111"/>
    </row>
    <row r="89" spans="1:64" x14ac:dyDescent="0.2">
      <c r="A89" s="18">
        <v>67</v>
      </c>
      <c r="B89" s="175"/>
      <c r="C89" s="170"/>
      <c r="D89" s="128"/>
      <c r="E89" s="128"/>
      <c r="F89" s="176"/>
      <c r="G89" s="177"/>
      <c r="H89" s="169"/>
      <c r="I89" s="170"/>
      <c r="J89" s="17">
        <f>IF($B89='אפיון מידה'!$P$38,$I$17,דגימה!$I$31)</f>
        <v>2</v>
      </c>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1"/>
      <c r="BJ89" s="111"/>
      <c r="BK89" s="111"/>
      <c r="BL89" s="111"/>
    </row>
    <row r="90" spans="1:64" x14ac:dyDescent="0.2">
      <c r="A90" s="18">
        <v>68</v>
      </c>
      <c r="B90" s="175"/>
      <c r="C90" s="170"/>
      <c r="D90" s="128"/>
      <c r="E90" s="128"/>
      <c r="F90" s="176"/>
      <c r="G90" s="177"/>
      <c r="H90" s="169"/>
      <c r="I90" s="170"/>
      <c r="J90" s="17">
        <f>IF($B90='אפיון מידה'!$P$38,$I$17,דגימה!$I$31)</f>
        <v>2</v>
      </c>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1"/>
      <c r="BJ90" s="111"/>
      <c r="BK90" s="111"/>
      <c r="BL90" s="111"/>
    </row>
    <row r="91" spans="1:64" x14ac:dyDescent="0.2">
      <c r="A91" s="18">
        <v>69</v>
      </c>
      <c r="B91" s="175"/>
      <c r="C91" s="170"/>
      <c r="D91" s="128"/>
      <c r="E91" s="128"/>
      <c r="F91" s="176"/>
      <c r="G91" s="177"/>
      <c r="H91" s="169"/>
      <c r="I91" s="170"/>
      <c r="J91" s="17">
        <f>IF($B91='אפיון מידה'!$P$38,$I$17,דגימה!$I$31)</f>
        <v>2</v>
      </c>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1"/>
      <c r="BJ91" s="111"/>
      <c r="BK91" s="111"/>
      <c r="BL91" s="111"/>
    </row>
    <row r="92" spans="1:64" x14ac:dyDescent="0.2">
      <c r="A92" s="18">
        <v>70</v>
      </c>
      <c r="B92" s="175"/>
      <c r="C92" s="170"/>
      <c r="D92" s="128"/>
      <c r="E92" s="128"/>
      <c r="F92" s="176"/>
      <c r="G92" s="177"/>
      <c r="H92" s="169"/>
      <c r="I92" s="170"/>
      <c r="J92" s="17">
        <f>IF($B92='אפיון מידה'!$P$38,$I$17,דגימה!$I$31)</f>
        <v>2</v>
      </c>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1"/>
      <c r="BJ92" s="111"/>
      <c r="BK92" s="111"/>
      <c r="BL92" s="111"/>
    </row>
    <row r="93" spans="1:64" x14ac:dyDescent="0.2">
      <c r="A93" s="18">
        <v>71</v>
      </c>
      <c r="B93" s="175"/>
      <c r="C93" s="170"/>
      <c r="D93" s="128"/>
      <c r="E93" s="128"/>
      <c r="F93" s="176"/>
      <c r="G93" s="177"/>
      <c r="H93" s="169"/>
      <c r="I93" s="170"/>
      <c r="J93" s="17">
        <f>IF($B93='אפיון מידה'!$P$38,$I$17,דגימה!$I$31)</f>
        <v>2</v>
      </c>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1"/>
      <c r="BJ93" s="111"/>
      <c r="BK93" s="111"/>
      <c r="BL93" s="111"/>
    </row>
    <row r="94" spans="1:64" x14ac:dyDescent="0.2">
      <c r="A94" s="18">
        <v>72</v>
      </c>
      <c r="B94" s="175"/>
      <c r="C94" s="170"/>
      <c r="D94" s="128"/>
      <c r="E94" s="128"/>
      <c r="F94" s="176"/>
      <c r="G94" s="177"/>
      <c r="H94" s="169"/>
      <c r="I94" s="170"/>
      <c r="J94" s="17">
        <f>IF($B94='אפיון מידה'!$P$38,$I$17,דגימה!$I$31)</f>
        <v>2</v>
      </c>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1"/>
      <c r="BJ94" s="111"/>
      <c r="BK94" s="111"/>
      <c r="BL94" s="111"/>
    </row>
    <row r="95" spans="1:64" x14ac:dyDescent="0.2">
      <c r="A95" s="18">
        <v>73</v>
      </c>
      <c r="B95" s="175"/>
      <c r="C95" s="170"/>
      <c r="D95" s="128"/>
      <c r="E95" s="128"/>
      <c r="F95" s="176"/>
      <c r="G95" s="177"/>
      <c r="H95" s="169"/>
      <c r="I95" s="170"/>
      <c r="J95" s="17">
        <f>IF($B95='אפיון מידה'!$P$38,$I$17,דגימה!$I$31)</f>
        <v>2</v>
      </c>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1"/>
      <c r="BJ95" s="111"/>
      <c r="BK95" s="111"/>
      <c r="BL95" s="111"/>
    </row>
    <row r="96" spans="1:64" x14ac:dyDescent="0.2">
      <c r="A96" s="18">
        <v>74</v>
      </c>
      <c r="B96" s="175"/>
      <c r="C96" s="170"/>
      <c r="D96" s="128"/>
      <c r="E96" s="128"/>
      <c r="F96" s="176"/>
      <c r="G96" s="177"/>
      <c r="H96" s="169"/>
      <c r="I96" s="170"/>
      <c r="J96" s="17">
        <f>IF($B96='אפיון מידה'!$P$38,$I$17,דגימה!$I$31)</f>
        <v>2</v>
      </c>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1"/>
      <c r="BJ96" s="111"/>
      <c r="BK96" s="111"/>
      <c r="BL96" s="111"/>
    </row>
    <row r="97" spans="1:64" x14ac:dyDescent="0.2">
      <c r="A97" s="18">
        <v>75</v>
      </c>
      <c r="B97" s="175"/>
      <c r="C97" s="170"/>
      <c r="D97" s="128"/>
      <c r="E97" s="128"/>
      <c r="F97" s="176"/>
      <c r="G97" s="177"/>
      <c r="H97" s="169"/>
      <c r="I97" s="170"/>
      <c r="J97" s="17">
        <f>IF($B97='אפיון מידה'!$P$38,$I$17,דגימה!$I$31)</f>
        <v>2</v>
      </c>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1"/>
      <c r="BJ97" s="111"/>
      <c r="BK97" s="111"/>
      <c r="BL97" s="111"/>
    </row>
    <row r="98" spans="1:64" x14ac:dyDescent="0.2">
      <c r="A98" s="18">
        <v>76</v>
      </c>
      <c r="B98" s="175"/>
      <c r="C98" s="170"/>
      <c r="D98" s="128"/>
      <c r="E98" s="128"/>
      <c r="F98" s="176"/>
      <c r="G98" s="177"/>
      <c r="H98" s="169"/>
      <c r="I98" s="170"/>
      <c r="J98" s="17">
        <f>IF($B98='אפיון מידה'!$P$38,$I$17,דגימה!$I$31)</f>
        <v>2</v>
      </c>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1"/>
      <c r="BJ98" s="111"/>
      <c r="BK98" s="111"/>
      <c r="BL98" s="111"/>
    </row>
    <row r="99" spans="1:64" x14ac:dyDescent="0.2">
      <c r="A99" s="18">
        <v>77</v>
      </c>
      <c r="B99" s="175"/>
      <c r="C99" s="170"/>
      <c r="D99" s="128"/>
      <c r="E99" s="128"/>
      <c r="F99" s="176"/>
      <c r="G99" s="177"/>
      <c r="H99" s="169"/>
      <c r="I99" s="170"/>
      <c r="J99" s="17">
        <f>IF($B99='אפיון מידה'!$P$38,$I$17,דגימה!$I$31)</f>
        <v>2</v>
      </c>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1"/>
      <c r="BJ99" s="111"/>
      <c r="BK99" s="111"/>
      <c r="BL99" s="111"/>
    </row>
    <row r="100" spans="1:64" x14ac:dyDescent="0.2">
      <c r="A100" s="18">
        <v>78</v>
      </c>
      <c r="B100" s="175"/>
      <c r="C100" s="170"/>
      <c r="D100" s="128"/>
      <c r="E100" s="128"/>
      <c r="F100" s="176"/>
      <c r="G100" s="177"/>
      <c r="H100" s="169"/>
      <c r="I100" s="170"/>
      <c r="J100" s="17">
        <f>IF($B100='אפיון מידה'!$P$38,$I$17,דגימה!$I$31)</f>
        <v>2</v>
      </c>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1"/>
      <c r="BJ100" s="111"/>
      <c r="BK100" s="111"/>
      <c r="BL100" s="111"/>
    </row>
    <row r="101" spans="1:64" ht="15" thickBot="1" x14ac:dyDescent="0.25">
      <c r="A101" s="19">
        <v>79</v>
      </c>
      <c r="B101" s="175"/>
      <c r="C101" s="170"/>
      <c r="D101" s="176" t="s">
        <v>422</v>
      </c>
      <c r="E101" s="582"/>
      <c r="F101" s="582"/>
      <c r="G101" s="582"/>
      <c r="H101" s="582"/>
      <c r="I101" s="177"/>
      <c r="J101" s="17">
        <f>IF($B101='אפיון מידה'!$P$38,$I$17,דגימה!$I$31)</f>
        <v>2</v>
      </c>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1"/>
      <c r="BJ101" s="111"/>
      <c r="BK101" s="111"/>
      <c r="BL101" s="111"/>
    </row>
    <row r="102" spans="1:64" ht="12.75" customHeight="1" thickBot="1" x14ac:dyDescent="0.25"/>
    <row r="103" spans="1:64" ht="15" thickBot="1" x14ac:dyDescent="0.25">
      <c r="A103" s="178" t="s">
        <v>370</v>
      </c>
      <c r="B103" s="179"/>
      <c r="C103" s="222"/>
      <c r="D103" s="211"/>
      <c r="E103" s="178" t="s">
        <v>371</v>
      </c>
      <c r="F103" s="179"/>
      <c r="G103" s="179"/>
      <c r="H103" s="179"/>
      <c r="I103" s="222"/>
      <c r="J103" s="211"/>
    </row>
    <row r="104" spans="1:64" ht="3" customHeight="1" thickBot="1" x14ac:dyDescent="0.25">
      <c r="A104" s="1"/>
      <c r="B104" s="1"/>
      <c r="C104" s="1"/>
      <c r="D104" s="1"/>
      <c r="E104" s="1"/>
      <c r="F104" s="1"/>
      <c r="G104" s="1"/>
      <c r="H104" s="1"/>
      <c r="I104" s="1"/>
      <c r="J104" s="1"/>
    </row>
    <row r="105" spans="1:64" ht="15" thickBot="1" x14ac:dyDescent="0.25">
      <c r="A105" s="178" t="s">
        <v>372</v>
      </c>
      <c r="B105" s="179"/>
      <c r="C105" s="222"/>
      <c r="D105" s="222"/>
      <c r="E105" s="222"/>
      <c r="F105" s="222"/>
      <c r="G105" s="222"/>
      <c r="H105" s="211"/>
      <c r="I105" s="1"/>
      <c r="J105" s="1"/>
    </row>
    <row r="106" spans="1:64" ht="9" customHeight="1" thickBot="1" x14ac:dyDescent="0.25"/>
    <row r="107" spans="1:64" ht="15" thickBot="1" x14ac:dyDescent="0.25">
      <c r="A107" s="225" t="s">
        <v>91</v>
      </c>
      <c r="B107" s="226"/>
      <c r="C107" s="178">
        <f>I17</f>
        <v>0</v>
      </c>
      <c r="D107" s="180"/>
      <c r="F107" s="178" t="s">
        <v>93</v>
      </c>
      <c r="G107" s="180"/>
      <c r="H107" s="8">
        <v>0</v>
      </c>
      <c r="I107" s="15" t="s">
        <v>92</v>
      </c>
      <c r="J107" s="15">
        <v>0</v>
      </c>
      <c r="Y107" s="1"/>
    </row>
    <row r="108" spans="1:64" ht="8.25" customHeight="1" thickBot="1" x14ac:dyDescent="0.25"/>
    <row r="109" spans="1:64" ht="15" thickBot="1" x14ac:dyDescent="0.25">
      <c r="B109" s="178" t="s">
        <v>94</v>
      </c>
      <c r="C109" s="179"/>
      <c r="D109" s="180"/>
      <c r="E109" s="184"/>
      <c r="F109" s="185"/>
      <c r="G109" s="185"/>
      <c r="H109" s="185"/>
      <c r="I109" s="185"/>
      <c r="J109" s="185"/>
      <c r="Y109" s="1"/>
    </row>
    <row r="110" spans="1:64" ht="6.75" customHeight="1" thickBot="1" x14ac:dyDescent="0.25"/>
    <row r="111" spans="1:64" ht="15" thickBot="1" x14ac:dyDescent="0.25">
      <c r="A111" s="178" t="s">
        <v>96</v>
      </c>
      <c r="B111" s="179"/>
      <c r="C111" s="223">
        <f ca="1">TODAY()</f>
        <v>46149</v>
      </c>
      <c r="D111" s="224"/>
      <c r="E111" s="185" t="s">
        <v>95</v>
      </c>
      <c r="F111" s="185"/>
      <c r="G111" s="185"/>
      <c r="H111" s="185"/>
      <c r="I111" s="185"/>
      <c r="J111" s="185"/>
    </row>
  </sheetData>
  <customSheetViews>
    <customSheetView guid="{6A413C5E-66D3-4F44-AAA6-E84C5671B7D4}" showPageBreaks="1" view="pageLayout">
      <selection activeCell="K1" sqref="K1:K1048576"/>
      <pageMargins left="0.25" right="0.25" top="1.45" bottom="0.75" header="0.3" footer="0.3"/>
      <pageSetup paperSize="9" fitToHeight="0" orientation="landscape" r:id="rId1"/>
      <headerFooter>
        <oddHeader>&amp;C&amp;G</oddHeader>
        <oddFooter>&amp;Cטופס 009 מהדורה 02</oddFooter>
      </headerFooter>
    </customSheetView>
  </customSheetViews>
  <mergeCells count="286">
    <mergeCell ref="B77:C77"/>
    <mergeCell ref="B97:C97"/>
    <mergeCell ref="H74:I74"/>
    <mergeCell ref="F77:G77"/>
    <mergeCell ref="F76:G76"/>
    <mergeCell ref="H75:I75"/>
    <mergeCell ref="H90:I90"/>
    <mergeCell ref="H89:I89"/>
    <mergeCell ref="H88:I88"/>
    <mergeCell ref="H87:I87"/>
    <mergeCell ref="H86:I86"/>
    <mergeCell ref="H82:I82"/>
    <mergeCell ref="H81:I81"/>
    <mergeCell ref="F75:G75"/>
    <mergeCell ref="F80:G80"/>
    <mergeCell ref="F81:G81"/>
    <mergeCell ref="F84:G84"/>
    <mergeCell ref="F85:G85"/>
    <mergeCell ref="F86:G86"/>
    <mergeCell ref="F87:G87"/>
    <mergeCell ref="B91:C91"/>
    <mergeCell ref="B82:C82"/>
    <mergeCell ref="B83:C83"/>
    <mergeCell ref="B84:C84"/>
    <mergeCell ref="B98:C98"/>
    <mergeCell ref="B99:C99"/>
    <mergeCell ref="B100:C100"/>
    <mergeCell ref="B101:C101"/>
    <mergeCell ref="B92:C92"/>
    <mergeCell ref="B93:C93"/>
    <mergeCell ref="B94:C94"/>
    <mergeCell ref="E103:H103"/>
    <mergeCell ref="C103:D103"/>
    <mergeCell ref="F99:G99"/>
    <mergeCell ref="F100:G100"/>
    <mergeCell ref="F96:G96"/>
    <mergeCell ref="F97:G97"/>
    <mergeCell ref="H93:I93"/>
    <mergeCell ref="H92:I92"/>
    <mergeCell ref="F94:G94"/>
    <mergeCell ref="B95:C95"/>
    <mergeCell ref="B96:C96"/>
    <mergeCell ref="F93:G93"/>
    <mergeCell ref="D101:I101"/>
    <mergeCell ref="A105:B105"/>
    <mergeCell ref="C105:H105"/>
    <mergeCell ref="H111:J111"/>
    <mergeCell ref="A111:B111"/>
    <mergeCell ref="C111:D111"/>
    <mergeCell ref="E111:G111"/>
    <mergeCell ref="C107:D107"/>
    <mergeCell ref="A103:B103"/>
    <mergeCell ref="I103:J103"/>
    <mergeCell ref="A107:B107"/>
    <mergeCell ref="F72:G72"/>
    <mergeCell ref="F71:G71"/>
    <mergeCell ref="F78:G78"/>
    <mergeCell ref="H100:I100"/>
    <mergeCell ref="H99:I99"/>
    <mergeCell ref="H98:I98"/>
    <mergeCell ref="H97:I97"/>
    <mergeCell ref="H96:I96"/>
    <mergeCell ref="F82:G82"/>
    <mergeCell ref="F88:G88"/>
    <mergeCell ref="F89:G89"/>
    <mergeCell ref="F90:G90"/>
    <mergeCell ref="F91:G91"/>
    <mergeCell ref="F92:G92"/>
    <mergeCell ref="F83:G83"/>
    <mergeCell ref="F95:G95"/>
    <mergeCell ref="F74:G74"/>
    <mergeCell ref="F73:G73"/>
    <mergeCell ref="H95:I95"/>
    <mergeCell ref="H94:I94"/>
    <mergeCell ref="H91:I91"/>
    <mergeCell ref="F98:G98"/>
    <mergeCell ref="P7:Q7"/>
    <mergeCell ref="J20:J21"/>
    <mergeCell ref="A20:A21"/>
    <mergeCell ref="D20:D21"/>
    <mergeCell ref="E20:E21"/>
    <mergeCell ref="B31:C31"/>
    <mergeCell ref="B32:C32"/>
    <mergeCell ref="H25:I25"/>
    <mergeCell ref="H26:I26"/>
    <mergeCell ref="H27:I27"/>
    <mergeCell ref="H28:I28"/>
    <mergeCell ref="H29:I29"/>
    <mergeCell ref="H23:I23"/>
    <mergeCell ref="H24:I24"/>
    <mergeCell ref="G11:I11"/>
    <mergeCell ref="B11:E11"/>
    <mergeCell ref="A13:B13"/>
    <mergeCell ref="C13:E13"/>
    <mergeCell ref="G13:I13"/>
    <mergeCell ref="H31:I31"/>
    <mergeCell ref="A15:B15"/>
    <mergeCell ref="H59:I59"/>
    <mergeCell ref="H60:I60"/>
    <mergeCell ref="F56:G56"/>
    <mergeCell ref="F57:G57"/>
    <mergeCell ref="F58:G58"/>
    <mergeCell ref="F59:G59"/>
    <mergeCell ref="F60:G60"/>
    <mergeCell ref="A1:E1"/>
    <mergeCell ref="A3:C3"/>
    <mergeCell ref="A5:C5"/>
    <mergeCell ref="A7:B7"/>
    <mergeCell ref="A9:B9"/>
    <mergeCell ref="C9:J9"/>
    <mergeCell ref="B20:C21"/>
    <mergeCell ref="B23:C23"/>
    <mergeCell ref="B24:C24"/>
    <mergeCell ref="B25:C25"/>
    <mergeCell ref="C15:G15"/>
    <mergeCell ref="F23:G23"/>
    <mergeCell ref="F24:G24"/>
    <mergeCell ref="F25:G25"/>
    <mergeCell ref="C7:D7"/>
    <mergeCell ref="E7:J7"/>
    <mergeCell ref="B38:C38"/>
    <mergeCell ref="B76:C76"/>
    <mergeCell ref="B75:C75"/>
    <mergeCell ref="B74:C74"/>
    <mergeCell ref="B73:C73"/>
    <mergeCell ref="B72:C72"/>
    <mergeCell ref="B71:C71"/>
    <mergeCell ref="B70:C70"/>
    <mergeCell ref="B69:C69"/>
    <mergeCell ref="B68:C68"/>
    <mergeCell ref="B39:C39"/>
    <mergeCell ref="B40:C40"/>
    <mergeCell ref="F65:G65"/>
    <mergeCell ref="F66:G66"/>
    <mergeCell ref="F67:G67"/>
    <mergeCell ref="F69:G69"/>
    <mergeCell ref="F42:G42"/>
    <mergeCell ref="F43:G43"/>
    <mergeCell ref="B43:C43"/>
    <mergeCell ref="B44:C44"/>
    <mergeCell ref="B45:C45"/>
    <mergeCell ref="B63:C63"/>
    <mergeCell ref="B62:C62"/>
    <mergeCell ref="B60:C60"/>
    <mergeCell ref="B58:C58"/>
    <mergeCell ref="F70:G70"/>
    <mergeCell ref="B46:C46"/>
    <mergeCell ref="F47:G47"/>
    <mergeCell ref="F48:G48"/>
    <mergeCell ref="F49:G49"/>
    <mergeCell ref="F54:G54"/>
    <mergeCell ref="F55:G55"/>
    <mergeCell ref="F68:G68"/>
    <mergeCell ref="F63:G63"/>
    <mergeCell ref="F64:G64"/>
    <mergeCell ref="B47:C47"/>
    <mergeCell ref="B48:C48"/>
    <mergeCell ref="B49:C49"/>
    <mergeCell ref="B67:C67"/>
    <mergeCell ref="B66:C66"/>
    <mergeCell ref="B65:C65"/>
    <mergeCell ref="B64:C64"/>
    <mergeCell ref="F46:G46"/>
    <mergeCell ref="B59:C59"/>
    <mergeCell ref="F61:G61"/>
    <mergeCell ref="F62:G62"/>
    <mergeCell ref="BC20:BL20"/>
    <mergeCell ref="K20:U20"/>
    <mergeCell ref="A17:B17"/>
    <mergeCell ref="C17:D17"/>
    <mergeCell ref="F17:H17"/>
    <mergeCell ref="F20:G21"/>
    <mergeCell ref="H20:I21"/>
    <mergeCell ref="V20:AF20"/>
    <mergeCell ref="I17:J17"/>
    <mergeCell ref="AR20:BB20"/>
    <mergeCell ref="AG20:AQ20"/>
    <mergeCell ref="F37:G37"/>
    <mergeCell ref="F38:G38"/>
    <mergeCell ref="F39:G39"/>
    <mergeCell ref="F40:G40"/>
    <mergeCell ref="F41:G41"/>
    <mergeCell ref="F35:G35"/>
    <mergeCell ref="F36:G36"/>
    <mergeCell ref="F27:G27"/>
    <mergeCell ref="F28:G28"/>
    <mergeCell ref="F29:G29"/>
    <mergeCell ref="F30:G30"/>
    <mergeCell ref="F31:G31"/>
    <mergeCell ref="F32:G32"/>
    <mergeCell ref="H35:I35"/>
    <mergeCell ref="F26:G26"/>
    <mergeCell ref="F33:G33"/>
    <mergeCell ref="F34:G34"/>
    <mergeCell ref="H32:I32"/>
    <mergeCell ref="H44:I44"/>
    <mergeCell ref="B61:C61"/>
    <mergeCell ref="B87:C87"/>
    <mergeCell ref="B90:C90"/>
    <mergeCell ref="H36:I36"/>
    <mergeCell ref="H37:I37"/>
    <mergeCell ref="H38:I38"/>
    <mergeCell ref="H39:I39"/>
    <mergeCell ref="H30:I30"/>
    <mergeCell ref="B33:C33"/>
    <mergeCell ref="B34:C34"/>
    <mergeCell ref="B35:C35"/>
    <mergeCell ref="B26:C26"/>
    <mergeCell ref="B27:C27"/>
    <mergeCell ref="B28:C28"/>
    <mergeCell ref="B29:C29"/>
    <mergeCell ref="B30:C30"/>
    <mergeCell ref="B41:C41"/>
    <mergeCell ref="B42:C42"/>
    <mergeCell ref="B36:C36"/>
    <mergeCell ref="B37:C37"/>
    <mergeCell ref="H52:I52"/>
    <mergeCell ref="H51:I51"/>
    <mergeCell ref="F79:G79"/>
    <mergeCell ref="D3:J3"/>
    <mergeCell ref="D5:J5"/>
    <mergeCell ref="E109:J109"/>
    <mergeCell ref="F107:G107"/>
    <mergeCell ref="B57:C57"/>
    <mergeCell ref="B56:C56"/>
    <mergeCell ref="B55:C55"/>
    <mergeCell ref="B54:C54"/>
    <mergeCell ref="B53:C53"/>
    <mergeCell ref="B52:C52"/>
    <mergeCell ref="B51:C51"/>
    <mergeCell ref="B50:C50"/>
    <mergeCell ref="F50:G50"/>
    <mergeCell ref="F51:G51"/>
    <mergeCell ref="F52:G52"/>
    <mergeCell ref="F53:G53"/>
    <mergeCell ref="H42:I42"/>
    <mergeCell ref="H43:I43"/>
    <mergeCell ref="B109:D109"/>
    <mergeCell ref="B88:C88"/>
    <mergeCell ref="B89:C89"/>
    <mergeCell ref="H50:I50"/>
    <mergeCell ref="H68:I68"/>
    <mergeCell ref="H69:I69"/>
    <mergeCell ref="H70:I70"/>
    <mergeCell ref="H71:I71"/>
    <mergeCell ref="H72:I72"/>
    <mergeCell ref="H73:I73"/>
    <mergeCell ref="H58:I58"/>
    <mergeCell ref="H57:I57"/>
    <mergeCell ref="H56:I56"/>
    <mergeCell ref="H55:I55"/>
    <mergeCell ref="H54:I54"/>
    <mergeCell ref="H53:I53"/>
    <mergeCell ref="H61:I61"/>
    <mergeCell ref="H62:I62"/>
    <mergeCell ref="H63:I63"/>
    <mergeCell ref="H83:I83"/>
    <mergeCell ref="H84:I84"/>
    <mergeCell ref="H85:I85"/>
    <mergeCell ref="H76:I76"/>
    <mergeCell ref="H77:I77"/>
    <mergeCell ref="H78:I78"/>
    <mergeCell ref="H64:I64"/>
    <mergeCell ref="H65:I65"/>
    <mergeCell ref="H66:I66"/>
    <mergeCell ref="H67:I67"/>
    <mergeCell ref="F1:J1"/>
    <mergeCell ref="B85:C85"/>
    <mergeCell ref="B86:C86"/>
    <mergeCell ref="B78:C78"/>
    <mergeCell ref="B79:C79"/>
    <mergeCell ref="B80:C80"/>
    <mergeCell ref="B81:C81"/>
    <mergeCell ref="H79:I79"/>
    <mergeCell ref="H80:I80"/>
    <mergeCell ref="H45:I45"/>
    <mergeCell ref="H46:I46"/>
    <mergeCell ref="H47:I47"/>
    <mergeCell ref="H48:I48"/>
    <mergeCell ref="H49:I49"/>
    <mergeCell ref="H40:I40"/>
    <mergeCell ref="H41:I41"/>
    <mergeCell ref="H33:I33"/>
    <mergeCell ref="H34:I34"/>
    <mergeCell ref="F44:G44"/>
    <mergeCell ref="F45:G45"/>
  </mergeCells>
  <phoneticPr fontId="43" type="noConversion"/>
  <conditionalFormatting sqref="F1 D3 D5 C7 C9 B11 J11 C13 J13 C15 C17 I17 C103 I103 C105 E109">
    <cfRule type="containsBlanks" dxfId="10" priority="4">
      <formula>LEN(TRIM(B1))=0</formula>
    </cfRule>
  </conditionalFormatting>
  <conditionalFormatting sqref="J15">
    <cfRule type="containsBlanks" dxfId="9" priority="1">
      <formula>LEN(TRIM(J15))=0</formula>
    </cfRule>
  </conditionalFormatting>
  <pageMargins left="0.25" right="0.25" top="1.45" bottom="0.75" header="0.3" footer="0.3"/>
  <pageSetup paperSize="9" fitToHeight="0" orientation="landscape" r:id="rId2"/>
  <headerFooter>
    <oddHeader xml:space="preserve">&amp;C&amp;G  </oddHeader>
    <oddFooter>&amp;Cטופס 015 מהדורה 00</oddFooter>
  </headerFooter>
  <legacyDrawingHF r:id="rId3"/>
  <extLst>
    <ext xmlns:x14="http://schemas.microsoft.com/office/spreadsheetml/2009/9/main" uri="{CCE6A557-97BC-4b89-ADB6-D9C93CAAB3DF}">
      <x14:dataValidations xmlns:xm="http://schemas.microsoft.com/office/excel/2006/main" count="6">
        <x14:dataValidation type="list" showInputMessage="1" showErrorMessage="1" xr:uid="{40627642-C15F-426E-8FB7-88D1B12E7F1B}">
          <x14:formula1>
            <xm:f>דגימה!$Y$1:$Y$16</xm:f>
          </x14:formula1>
          <xm:sqref>C15</xm:sqref>
        </x14:dataValidation>
        <x14:dataValidation type="list" allowBlank="1" showInputMessage="1" showErrorMessage="1" xr:uid="{2BE020B2-9CAF-43DD-A14E-4A3D61D7B694}">
          <x14:formula1>
            <xm:f>מבקר!$B$4:$B$14</xm:f>
          </x14:formula1>
          <xm:sqref>E109</xm:sqref>
        </x14:dataValidation>
        <x14:dataValidation type="list" allowBlank="1" showInputMessage="1" showErrorMessage="1" xr:uid="{ACD2E442-3106-4F05-92BF-738172B180BA}">
          <x14:formula1>
            <xm:f>'אפיון מידה'!$P$17:$P$49</xm:f>
          </x14:formula1>
          <xm:sqref>B24:C101</xm:sqref>
        </x14:dataValidation>
        <x14:dataValidation type="list" showInputMessage="1" showErrorMessage="1" xr:uid="{85882493-47F0-4341-B1DC-7C085DDD0611}">
          <x14:formula1>
            <xm:f>'אפיון מידה'!$P$1:$P$49</xm:f>
          </x14:formula1>
          <xm:sqref>B23:C23</xm:sqref>
        </x14:dataValidation>
        <x14:dataValidation type="list" allowBlank="1" showInputMessage="1" showErrorMessage="1" xr:uid="{260ABF2C-D86D-436A-9768-6BBB5AB5E7C3}">
          <x14:formula1>
            <xm:f>'כלי מדידה'!$U$11:$U$49</xm:f>
          </x14:formula1>
          <xm:sqref>H24:I100</xm:sqref>
        </x14:dataValidation>
        <x14:dataValidation type="list" allowBlank="1" showInputMessage="1" showErrorMessage="1" xr:uid="{A2B2C788-D98A-4D67-BC17-B08DFD51B386}">
          <x14:formula1>
            <xm:f>'כלי מדידה'!$U$10:$U$49</xm:f>
          </x14:formula1>
          <xm:sqref>H23:I23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5A415-F577-4E6C-BEAC-A5EF2344A873}">
  <dimension ref="A1"/>
  <sheetViews>
    <sheetView workbookViewId="0">
      <selection activeCell="AC1" sqref="Y1:AC23"/>
    </sheetView>
  </sheetViews>
  <sheetFormatPr defaultRowHeight="14.2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46A7-0AE6-411D-9F1E-753B0436D946}">
  <sheetPr codeName="גיליון13">
    <pageSetUpPr fitToPage="1"/>
  </sheetPr>
  <dimension ref="A1:K119"/>
  <sheetViews>
    <sheetView rightToLeft="1" view="pageLayout" topLeftCell="A14" zoomScaleNormal="100" workbookViewId="0">
      <selection activeCell="I1" sqref="I1:K1"/>
    </sheetView>
  </sheetViews>
  <sheetFormatPr defaultRowHeight="14.25" x14ac:dyDescent="0.2"/>
  <cols>
    <col min="3" max="3" width="7.625" customWidth="1"/>
    <col min="4" max="4" width="8.625" style="10"/>
    <col min="5" max="5" width="6.625" style="10" customWidth="1"/>
    <col min="6" max="6" width="6.375" style="10" customWidth="1"/>
    <col min="7" max="7" width="2.875" customWidth="1"/>
    <col min="9" max="9" width="8.625" style="10"/>
    <col min="10" max="10" width="9.125" style="10" customWidth="1"/>
    <col min="11" max="11" width="12.375" customWidth="1"/>
  </cols>
  <sheetData>
    <row r="1" spans="1:11" ht="41.25" customHeight="1" thickBot="1" x14ac:dyDescent="0.35">
      <c r="A1" s="198" t="s">
        <v>337</v>
      </c>
      <c r="B1" s="199"/>
      <c r="C1" s="199"/>
      <c r="D1" s="199"/>
      <c r="E1" s="200"/>
      <c r="F1" s="171">
        <f>מבקר!G8</f>
        <v>0</v>
      </c>
      <c r="G1" s="172"/>
      <c r="H1" s="172"/>
      <c r="I1" s="171"/>
      <c r="J1" s="172"/>
      <c r="K1" s="238"/>
    </row>
    <row r="2" spans="1:11" ht="4.5" customHeight="1" thickBot="1" x14ac:dyDescent="0.25"/>
    <row r="3" spans="1:11" ht="15.75" thickBot="1" x14ac:dyDescent="0.3">
      <c r="A3" s="181" t="s">
        <v>0</v>
      </c>
      <c r="B3" s="182"/>
      <c r="C3" s="182"/>
      <c r="D3" s="181">
        <f>מבקר!G18</f>
        <v>0</v>
      </c>
      <c r="E3" s="182"/>
      <c r="F3" s="182"/>
      <c r="G3" s="182"/>
      <c r="H3" s="182"/>
      <c r="I3" s="182"/>
      <c r="J3" s="182"/>
      <c r="K3" s="183"/>
    </row>
    <row r="4" spans="1:11" ht="3.75" customHeight="1" thickBot="1" x14ac:dyDescent="0.25"/>
    <row r="5" spans="1:11" ht="15.75" thickBot="1" x14ac:dyDescent="0.3">
      <c r="A5" s="181" t="s">
        <v>1</v>
      </c>
      <c r="B5" s="182"/>
      <c r="C5" s="182"/>
      <c r="D5" s="181">
        <f>מבקר!G19</f>
        <v>0</v>
      </c>
      <c r="E5" s="182"/>
      <c r="F5" s="182"/>
      <c r="G5" s="182"/>
      <c r="H5" s="182"/>
      <c r="I5" s="182"/>
      <c r="J5" s="182"/>
      <c r="K5" s="183"/>
    </row>
    <row r="6" spans="1:11" ht="3.75" customHeight="1" thickBot="1" x14ac:dyDescent="0.25"/>
    <row r="7" spans="1:11" ht="15.75" thickBot="1" x14ac:dyDescent="0.3">
      <c r="A7" s="181" t="s">
        <v>2</v>
      </c>
      <c r="B7" s="183"/>
      <c r="C7" s="81">
        <f>מבקר!G20</f>
        <v>0</v>
      </c>
      <c r="D7" s="9"/>
      <c r="E7" s="181"/>
      <c r="F7" s="182"/>
      <c r="G7" s="182"/>
      <c r="H7" s="182"/>
      <c r="I7" s="182"/>
      <c r="J7" s="182"/>
      <c r="K7" s="183"/>
    </row>
    <row r="8" spans="1:11" ht="3" customHeight="1" thickBot="1" x14ac:dyDescent="0.25"/>
    <row r="9" spans="1:11" ht="15.75" thickBot="1" x14ac:dyDescent="0.3">
      <c r="A9" s="182" t="s">
        <v>3</v>
      </c>
      <c r="B9" s="182"/>
      <c r="C9" s="181">
        <f>מבקר!G6</f>
        <v>0</v>
      </c>
      <c r="D9" s="182"/>
      <c r="E9" s="182"/>
      <c r="F9" s="182"/>
      <c r="G9" s="182"/>
      <c r="H9" s="182"/>
      <c r="I9" s="182"/>
      <c r="J9" s="182"/>
      <c r="K9" s="183"/>
    </row>
    <row r="10" spans="1:11" ht="3" customHeight="1" thickBot="1" x14ac:dyDescent="0.25"/>
    <row r="11" spans="1:11" ht="15.75" thickBot="1" x14ac:dyDescent="0.3">
      <c r="A11" s="11" t="s">
        <v>4</v>
      </c>
      <c r="B11" s="188">
        <f>מבקר!G4</f>
        <v>0</v>
      </c>
      <c r="C11" s="189"/>
      <c r="D11" s="189"/>
      <c r="E11" s="221"/>
      <c r="G11" s="181" t="s">
        <v>6</v>
      </c>
      <c r="H11" s="182"/>
      <c r="I11" s="182"/>
      <c r="J11" s="188">
        <f>'דוח ביקורת'!J11</f>
        <v>0</v>
      </c>
      <c r="K11" s="221"/>
    </row>
    <row r="12" spans="1:11" ht="3" customHeight="1" thickBot="1" x14ac:dyDescent="0.25"/>
    <row r="13" spans="1:11" ht="15.75" thickBot="1" x14ac:dyDescent="0.3">
      <c r="A13" s="181" t="s">
        <v>5</v>
      </c>
      <c r="B13" s="183"/>
      <c r="C13" s="181">
        <f>מבקר!G12</f>
        <v>0</v>
      </c>
      <c r="D13" s="182"/>
      <c r="E13" s="183"/>
      <c r="G13" s="181" t="s">
        <v>7</v>
      </c>
      <c r="H13" s="182"/>
      <c r="I13" s="182"/>
      <c r="J13" s="188">
        <f>מבקר!G14</f>
        <v>0</v>
      </c>
      <c r="K13" s="221"/>
    </row>
    <row r="14" spans="1:11" ht="3" customHeight="1" thickBot="1" x14ac:dyDescent="0.25"/>
    <row r="15" spans="1:11" ht="15.75" thickBot="1" x14ac:dyDescent="0.3">
      <c r="A15" s="181" t="s">
        <v>25</v>
      </c>
      <c r="B15" s="183"/>
      <c r="C15" s="178">
        <f>מבקר!G22</f>
        <v>0</v>
      </c>
      <c r="D15" s="180"/>
      <c r="F15" s="181" t="s">
        <v>26</v>
      </c>
      <c r="G15" s="182"/>
      <c r="H15" s="182"/>
      <c r="I15" s="178">
        <f>מבקר!G23</f>
        <v>0</v>
      </c>
      <c r="J15" s="179"/>
      <c r="K15" s="180"/>
    </row>
    <row r="16" spans="1:11" ht="3" customHeight="1" thickBot="1" x14ac:dyDescent="0.3">
      <c r="A16" s="122"/>
      <c r="B16" s="122"/>
      <c r="C16" s="122"/>
      <c r="D16" s="33"/>
    </row>
    <row r="17" spans="1:11" ht="15.75" thickBot="1" x14ac:dyDescent="0.3">
      <c r="A17" s="181" t="s">
        <v>94</v>
      </c>
      <c r="B17" s="183"/>
      <c r="C17" s="179">
        <f>מבקר!G17</f>
        <v>0</v>
      </c>
      <c r="D17" s="179"/>
      <c r="E17" s="188" t="s">
        <v>96</v>
      </c>
      <c r="F17" s="221"/>
      <c r="G17" s="223">
        <f ca="1">TODAY()</f>
        <v>46149</v>
      </c>
      <c r="H17" s="224"/>
      <c r="I17" s="14" t="s">
        <v>95</v>
      </c>
      <c r="J17" s="178"/>
      <c r="K17" s="180"/>
    </row>
    <row r="18" spans="1:11" ht="15" thickBot="1" x14ac:dyDescent="0.25"/>
    <row r="19" spans="1:11" ht="15" customHeight="1" x14ac:dyDescent="0.2">
      <c r="A19" s="215" t="s">
        <v>27</v>
      </c>
      <c r="B19" s="201" t="s">
        <v>28</v>
      </c>
      <c r="C19" s="229"/>
      <c r="D19" s="215" t="s">
        <v>29</v>
      </c>
      <c r="E19" s="235" t="s">
        <v>30</v>
      </c>
      <c r="F19" s="235" t="s">
        <v>34</v>
      </c>
      <c r="G19" s="233" t="s">
        <v>31</v>
      </c>
      <c r="H19" s="229"/>
      <c r="I19" s="229" t="s">
        <v>405</v>
      </c>
      <c r="J19" s="215" t="s">
        <v>406</v>
      </c>
      <c r="K19" s="215" t="s">
        <v>407</v>
      </c>
    </row>
    <row r="20" spans="1:11" ht="15" thickBot="1" x14ac:dyDescent="0.25">
      <c r="A20" s="216"/>
      <c r="B20" s="237"/>
      <c r="C20" s="230"/>
      <c r="D20" s="216"/>
      <c r="E20" s="236"/>
      <c r="F20" s="236"/>
      <c r="G20" s="234"/>
      <c r="H20" s="230"/>
      <c r="I20" s="230"/>
      <c r="J20" s="216"/>
      <c r="K20" s="216"/>
    </row>
    <row r="21" spans="1:11" ht="3" customHeight="1" x14ac:dyDescent="0.2">
      <c r="A21" s="24"/>
      <c r="B21" s="119"/>
      <c r="C21" s="120"/>
      <c r="D21" s="26"/>
      <c r="E21" s="27"/>
      <c r="F21" s="28"/>
      <c r="G21" s="228"/>
      <c r="H21" s="228"/>
      <c r="I21" s="26"/>
      <c r="J21" s="30"/>
      <c r="K21" s="109"/>
    </row>
    <row r="22" spans="1:11" x14ac:dyDescent="0.2">
      <c r="A22" s="16">
        <v>1</v>
      </c>
      <c r="B22" s="231">
        <f>'דוח ביקורת'!B23:C23</f>
        <v>0</v>
      </c>
      <c r="C22" s="232"/>
      <c r="D22" s="158">
        <f>'דוח ביקורת'!D23</f>
        <v>0</v>
      </c>
      <c r="E22" s="158">
        <f>'דוח ביקורת'!E23</f>
        <v>0</v>
      </c>
      <c r="F22" s="158">
        <f>'דוח ביקורת'!F23</f>
        <v>0</v>
      </c>
      <c r="G22" s="227">
        <f>מבקר!S2</f>
        <v>0</v>
      </c>
      <c r="H22" s="227"/>
      <c r="I22" s="158"/>
      <c r="J22" s="159"/>
      <c r="K22" s="155"/>
    </row>
    <row r="23" spans="1:11" x14ac:dyDescent="0.2">
      <c r="A23" s="18">
        <v>2</v>
      </c>
      <c r="B23" s="231">
        <f>'דוח ביקורת'!B24:C24</f>
        <v>0</v>
      </c>
      <c r="C23" s="232"/>
      <c r="D23" s="158">
        <f>'דוח ביקורת'!D24</f>
        <v>0</v>
      </c>
      <c r="E23" s="158">
        <f>'דוח ביקורת'!E24</f>
        <v>0</v>
      </c>
      <c r="F23" s="158">
        <f>'דוח ביקורת'!F24</f>
        <v>0</v>
      </c>
      <c r="G23" s="227">
        <f>מבקר!S3</f>
        <v>0</v>
      </c>
      <c r="H23" s="227"/>
      <c r="I23" s="160"/>
      <c r="J23" s="159"/>
      <c r="K23" s="155"/>
    </row>
    <row r="24" spans="1:11" x14ac:dyDescent="0.2">
      <c r="A24" s="18">
        <v>3</v>
      </c>
      <c r="B24" s="231">
        <f>'דוח ביקורת'!B25:C25</f>
        <v>0</v>
      </c>
      <c r="C24" s="232"/>
      <c r="D24" s="158">
        <f>'דוח ביקורת'!D25</f>
        <v>0</v>
      </c>
      <c r="E24" s="158">
        <f>'דוח ביקורת'!E25</f>
        <v>0</v>
      </c>
      <c r="F24" s="158">
        <f>'דוח ביקורת'!F25</f>
        <v>0</v>
      </c>
      <c r="G24" s="227">
        <f>מבקר!S4</f>
        <v>0</v>
      </c>
      <c r="H24" s="227"/>
      <c r="I24" s="158"/>
      <c r="J24" s="159"/>
      <c r="K24" s="156"/>
    </row>
    <row r="25" spans="1:11" x14ac:dyDescent="0.2">
      <c r="A25" s="18">
        <v>4</v>
      </c>
      <c r="B25" s="231">
        <f>'דוח ביקורת'!B26:C26</f>
        <v>0</v>
      </c>
      <c r="C25" s="232"/>
      <c r="D25" s="158">
        <f>'דוח ביקורת'!D26</f>
        <v>0</v>
      </c>
      <c r="E25" s="158">
        <f>'דוח ביקורת'!E26</f>
        <v>0</v>
      </c>
      <c r="F25" s="158">
        <f>'דוח ביקורת'!F26</f>
        <v>0</v>
      </c>
      <c r="G25" s="227">
        <f>מבקר!S5</f>
        <v>0</v>
      </c>
      <c r="H25" s="227"/>
      <c r="I25" s="158"/>
      <c r="J25" s="159"/>
      <c r="K25" s="156"/>
    </row>
    <row r="26" spans="1:11" x14ac:dyDescent="0.2">
      <c r="A26" s="18">
        <v>5</v>
      </c>
      <c r="B26" s="231">
        <f>'דוח ביקורת'!B27:C27</f>
        <v>0</v>
      </c>
      <c r="C26" s="232"/>
      <c r="D26" s="158">
        <f>'דוח ביקורת'!D27</f>
        <v>0</v>
      </c>
      <c r="E26" s="158">
        <f>'דוח ביקורת'!E27</f>
        <v>0</v>
      </c>
      <c r="F26" s="158">
        <f>'דוח ביקורת'!F27</f>
        <v>0</v>
      </c>
      <c r="G26" s="227">
        <f>מבקר!S6</f>
        <v>0</v>
      </c>
      <c r="H26" s="227"/>
      <c r="I26" s="158"/>
      <c r="J26" s="159"/>
      <c r="K26" s="156"/>
    </row>
    <row r="27" spans="1:11" x14ac:dyDescent="0.2">
      <c r="A27" s="18">
        <v>6</v>
      </c>
      <c r="B27" s="231">
        <f>'דוח ביקורת'!B28:C28</f>
        <v>0</v>
      </c>
      <c r="C27" s="232"/>
      <c r="D27" s="158">
        <f>'דוח ביקורת'!D28</f>
        <v>0</v>
      </c>
      <c r="E27" s="158">
        <f>'דוח ביקורת'!E28</f>
        <v>0</v>
      </c>
      <c r="F27" s="158">
        <f>'דוח ביקורת'!F28</f>
        <v>0</v>
      </c>
      <c r="G27" s="227">
        <f>מבקר!S7</f>
        <v>0</v>
      </c>
      <c r="H27" s="227"/>
      <c r="I27" s="158"/>
      <c r="J27" s="159"/>
      <c r="K27" s="156"/>
    </row>
    <row r="28" spans="1:11" x14ac:dyDescent="0.2">
      <c r="A28" s="18">
        <v>7</v>
      </c>
      <c r="B28" s="231">
        <f>'דוח ביקורת'!B29:C29</f>
        <v>0</v>
      </c>
      <c r="C28" s="232"/>
      <c r="D28" s="158">
        <f>'דוח ביקורת'!D29</f>
        <v>0</v>
      </c>
      <c r="E28" s="158">
        <f>'דוח ביקורת'!E29</f>
        <v>0</v>
      </c>
      <c r="F28" s="158">
        <f>'דוח ביקורת'!F29</f>
        <v>0</v>
      </c>
      <c r="G28" s="227">
        <f>מבקר!S8</f>
        <v>0</v>
      </c>
      <c r="H28" s="227"/>
      <c r="I28" s="158"/>
      <c r="J28" s="159"/>
      <c r="K28" s="156"/>
    </row>
    <row r="29" spans="1:11" x14ac:dyDescent="0.2">
      <c r="A29" s="18">
        <v>8</v>
      </c>
      <c r="B29" s="231">
        <f>'דוח ביקורת'!B30:C30</f>
        <v>0</v>
      </c>
      <c r="C29" s="232"/>
      <c r="D29" s="158">
        <f>'דוח ביקורת'!D30</f>
        <v>0</v>
      </c>
      <c r="E29" s="158">
        <f>'דוח ביקורת'!E30</f>
        <v>0</v>
      </c>
      <c r="F29" s="158">
        <f>'דוח ביקורת'!F30</f>
        <v>0</v>
      </c>
      <c r="G29" s="227">
        <f>מבקר!S9</f>
        <v>0</v>
      </c>
      <c r="H29" s="227"/>
      <c r="I29" s="158"/>
      <c r="J29" s="159"/>
      <c r="K29" s="156"/>
    </row>
    <row r="30" spans="1:11" x14ac:dyDescent="0.2">
      <c r="A30" s="18">
        <v>9</v>
      </c>
      <c r="B30" s="231">
        <f>'דוח ביקורת'!B31:C31</f>
        <v>0</v>
      </c>
      <c r="C30" s="232"/>
      <c r="D30" s="158">
        <f>'דוח ביקורת'!D31</f>
        <v>0</v>
      </c>
      <c r="E30" s="158">
        <f>'דוח ביקורת'!E31</f>
        <v>0</v>
      </c>
      <c r="F30" s="158">
        <f>'דוח ביקורת'!F31</f>
        <v>0</v>
      </c>
      <c r="G30" s="227">
        <f>מבקר!S10</f>
        <v>0</v>
      </c>
      <c r="H30" s="227"/>
      <c r="I30" s="158"/>
      <c r="J30" s="159"/>
      <c r="K30" s="156"/>
    </row>
    <row r="31" spans="1:11" x14ac:dyDescent="0.2">
      <c r="A31" s="18">
        <v>10</v>
      </c>
      <c r="B31" s="231">
        <f>'דוח ביקורת'!B32:C32</f>
        <v>0</v>
      </c>
      <c r="C31" s="232"/>
      <c r="D31" s="158">
        <f>'דוח ביקורת'!D32</f>
        <v>0</v>
      </c>
      <c r="E31" s="158">
        <f>'דוח ביקורת'!E32</f>
        <v>0</v>
      </c>
      <c r="F31" s="158">
        <f>'דוח ביקורת'!F32</f>
        <v>0</v>
      </c>
      <c r="G31" s="227">
        <f>מבקר!S11</f>
        <v>0</v>
      </c>
      <c r="H31" s="227"/>
      <c r="I31" s="158"/>
      <c r="J31" s="159"/>
      <c r="K31" s="156"/>
    </row>
    <row r="32" spans="1:11" x14ac:dyDescent="0.2">
      <c r="A32" s="18">
        <v>11</v>
      </c>
      <c r="B32" s="231">
        <f>'דוח ביקורת'!B33:C33</f>
        <v>0</v>
      </c>
      <c r="C32" s="232"/>
      <c r="D32" s="158">
        <f>'דוח ביקורת'!D33</f>
        <v>0</v>
      </c>
      <c r="E32" s="158">
        <f>'דוח ביקורת'!E33</f>
        <v>0</v>
      </c>
      <c r="F32" s="158">
        <f>'דוח ביקורת'!F33</f>
        <v>0</v>
      </c>
      <c r="G32" s="227">
        <f>מבקר!S12</f>
        <v>0</v>
      </c>
      <c r="H32" s="227"/>
      <c r="I32" s="158"/>
      <c r="J32" s="159"/>
      <c r="K32" s="156"/>
    </row>
    <row r="33" spans="1:11" x14ac:dyDescent="0.2">
      <c r="A33" s="18">
        <v>12</v>
      </c>
      <c r="B33" s="231">
        <f>'דוח ביקורת'!B34:C34</f>
        <v>0</v>
      </c>
      <c r="C33" s="232"/>
      <c r="D33" s="158">
        <f>'דוח ביקורת'!D34</f>
        <v>0</v>
      </c>
      <c r="E33" s="158">
        <f>'דוח ביקורת'!E34</f>
        <v>0</v>
      </c>
      <c r="F33" s="158">
        <f>'דוח ביקורת'!F34</f>
        <v>0</v>
      </c>
      <c r="G33" s="227">
        <f>מבקר!S13</f>
        <v>0</v>
      </c>
      <c r="H33" s="227"/>
      <c r="I33" s="158"/>
      <c r="J33" s="159"/>
      <c r="K33" s="156"/>
    </row>
    <row r="34" spans="1:11" x14ac:dyDescent="0.2">
      <c r="A34" s="18">
        <v>13</v>
      </c>
      <c r="B34" s="231">
        <f>'דוח ביקורת'!B35:C35</f>
        <v>0</v>
      </c>
      <c r="C34" s="232"/>
      <c r="D34" s="158">
        <f>'דוח ביקורת'!D35</f>
        <v>0</v>
      </c>
      <c r="E34" s="158">
        <f>'דוח ביקורת'!E35</f>
        <v>0</v>
      </c>
      <c r="F34" s="158">
        <f>'דוח ביקורת'!F35</f>
        <v>0</v>
      </c>
      <c r="G34" s="227">
        <f>מבקר!S14</f>
        <v>0</v>
      </c>
      <c r="H34" s="227"/>
      <c r="I34" s="158"/>
      <c r="J34" s="159"/>
      <c r="K34" s="156"/>
    </row>
    <row r="35" spans="1:11" x14ac:dyDescent="0.2">
      <c r="A35" s="18">
        <v>14</v>
      </c>
      <c r="B35" s="231">
        <f>'דוח ביקורת'!B36:C36</f>
        <v>0</v>
      </c>
      <c r="C35" s="232"/>
      <c r="D35" s="158">
        <f>'דוח ביקורת'!D36</f>
        <v>0</v>
      </c>
      <c r="E35" s="158">
        <f>'דוח ביקורת'!E36</f>
        <v>0</v>
      </c>
      <c r="F35" s="158">
        <f>'דוח ביקורת'!F36</f>
        <v>0</v>
      </c>
      <c r="G35" s="227">
        <f>מבקר!S15</f>
        <v>0</v>
      </c>
      <c r="H35" s="227"/>
      <c r="I35" s="158"/>
      <c r="J35" s="159"/>
      <c r="K35" s="156"/>
    </row>
    <row r="36" spans="1:11" x14ac:dyDescent="0.2">
      <c r="A36" s="18">
        <v>15</v>
      </c>
      <c r="B36" s="231">
        <f>'דוח ביקורת'!B37:C37</f>
        <v>0</v>
      </c>
      <c r="C36" s="232"/>
      <c r="D36" s="158">
        <f>'דוח ביקורת'!D37</f>
        <v>0</v>
      </c>
      <c r="E36" s="158">
        <f>'דוח ביקורת'!E37</f>
        <v>0</v>
      </c>
      <c r="F36" s="158">
        <f>'דוח ביקורת'!F37</f>
        <v>0</v>
      </c>
      <c r="G36" s="227">
        <f>מבקר!S16</f>
        <v>0</v>
      </c>
      <c r="H36" s="227"/>
      <c r="I36" s="158"/>
      <c r="J36" s="159"/>
      <c r="K36" s="156"/>
    </row>
    <row r="37" spans="1:11" x14ac:dyDescent="0.2">
      <c r="A37" s="18">
        <v>16</v>
      </c>
      <c r="B37" s="231">
        <f>'דוח ביקורת'!B38:C38</f>
        <v>0</v>
      </c>
      <c r="C37" s="232"/>
      <c r="D37" s="158">
        <f>'דוח ביקורת'!D38</f>
        <v>0</v>
      </c>
      <c r="E37" s="158">
        <f>'דוח ביקורת'!E38</f>
        <v>0</v>
      </c>
      <c r="F37" s="158">
        <f>'דוח ביקורת'!F38</f>
        <v>0</v>
      </c>
      <c r="G37" s="227">
        <f>מבקר!S17</f>
        <v>0</v>
      </c>
      <c r="H37" s="227"/>
      <c r="I37" s="158"/>
      <c r="J37" s="159"/>
      <c r="K37" s="156"/>
    </row>
    <row r="38" spans="1:11" x14ac:dyDescent="0.2">
      <c r="A38" s="18">
        <v>17</v>
      </c>
      <c r="B38" s="231">
        <f>'דוח ביקורת'!B39:C39</f>
        <v>0</v>
      </c>
      <c r="C38" s="232"/>
      <c r="D38" s="158">
        <f>'דוח ביקורת'!D39</f>
        <v>0</v>
      </c>
      <c r="E38" s="158">
        <f>'דוח ביקורת'!E39</f>
        <v>0</v>
      </c>
      <c r="F38" s="158">
        <f>'דוח ביקורת'!F39</f>
        <v>0</v>
      </c>
      <c r="G38" s="227">
        <f>מבקר!S18</f>
        <v>0</v>
      </c>
      <c r="H38" s="227"/>
      <c r="I38" s="158"/>
      <c r="J38" s="159"/>
      <c r="K38" s="156"/>
    </row>
    <row r="39" spans="1:11" x14ac:dyDescent="0.2">
      <c r="A39" s="18">
        <v>18</v>
      </c>
      <c r="B39" s="231">
        <f>'דוח ביקורת'!B40:C40</f>
        <v>0</v>
      </c>
      <c r="C39" s="232"/>
      <c r="D39" s="158">
        <f>'דוח ביקורת'!D40</f>
        <v>0</v>
      </c>
      <c r="E39" s="158">
        <f>'דוח ביקורת'!E40</f>
        <v>0</v>
      </c>
      <c r="F39" s="158">
        <f>'דוח ביקורת'!F40</f>
        <v>0</v>
      </c>
      <c r="G39" s="227">
        <f>מבקר!S19</f>
        <v>0</v>
      </c>
      <c r="H39" s="227"/>
      <c r="I39" s="158"/>
      <c r="J39" s="159"/>
      <c r="K39" s="156"/>
    </row>
    <row r="40" spans="1:11" x14ac:dyDescent="0.2">
      <c r="A40" s="18">
        <v>19</v>
      </c>
      <c r="B40" s="231">
        <f>'דוח ביקורת'!B41:C41</f>
        <v>0</v>
      </c>
      <c r="C40" s="232"/>
      <c r="D40" s="158">
        <f>'דוח ביקורת'!D41</f>
        <v>0</v>
      </c>
      <c r="E40" s="158">
        <f>'דוח ביקורת'!E41</f>
        <v>0</v>
      </c>
      <c r="F40" s="158">
        <f>'דוח ביקורת'!F41</f>
        <v>0</v>
      </c>
      <c r="G40" s="227">
        <f>מבקר!S20</f>
        <v>0</v>
      </c>
      <c r="H40" s="227"/>
      <c r="I40" s="158"/>
      <c r="J40" s="159"/>
      <c r="K40" s="156"/>
    </row>
    <row r="41" spans="1:11" x14ac:dyDescent="0.2">
      <c r="A41" s="18">
        <v>20</v>
      </c>
      <c r="B41" s="231">
        <f>'דוח ביקורת'!B42:C42</f>
        <v>0</v>
      </c>
      <c r="C41" s="232"/>
      <c r="D41" s="158">
        <f>'דוח ביקורת'!D42</f>
        <v>0</v>
      </c>
      <c r="E41" s="158">
        <f>'דוח ביקורת'!E42</f>
        <v>0</v>
      </c>
      <c r="F41" s="158">
        <f>'דוח ביקורת'!F42</f>
        <v>0</v>
      </c>
      <c r="G41" s="227">
        <f>מבקר!S21</f>
        <v>0</v>
      </c>
      <c r="H41" s="227"/>
      <c r="I41" s="158"/>
      <c r="J41" s="159"/>
      <c r="K41" s="156"/>
    </row>
    <row r="42" spans="1:11" x14ac:dyDescent="0.2">
      <c r="A42" s="18">
        <v>21</v>
      </c>
      <c r="B42" s="231">
        <f>'דוח ביקורת'!B43:C43</f>
        <v>0</v>
      </c>
      <c r="C42" s="232"/>
      <c r="D42" s="158">
        <f>'דוח ביקורת'!D43</f>
        <v>0</v>
      </c>
      <c r="E42" s="158">
        <f>'דוח ביקורת'!E43</f>
        <v>0</v>
      </c>
      <c r="F42" s="158">
        <f>'דוח ביקורת'!F43</f>
        <v>0</v>
      </c>
      <c r="G42" s="227">
        <f>מבקר!S22</f>
        <v>0</v>
      </c>
      <c r="H42" s="227"/>
      <c r="I42" s="158"/>
      <c r="J42" s="159"/>
      <c r="K42" s="156"/>
    </row>
    <row r="43" spans="1:11" x14ac:dyDescent="0.2">
      <c r="A43" s="18">
        <v>22</v>
      </c>
      <c r="B43" s="231">
        <f>'דוח ביקורת'!B44:C44</f>
        <v>0</v>
      </c>
      <c r="C43" s="232"/>
      <c r="D43" s="158">
        <f>'דוח ביקורת'!D44</f>
        <v>0</v>
      </c>
      <c r="E43" s="158">
        <f>'דוח ביקורת'!E44</f>
        <v>0</v>
      </c>
      <c r="F43" s="158">
        <f>'דוח ביקורת'!F44</f>
        <v>0</v>
      </c>
      <c r="G43" s="227">
        <f>מבקר!S23</f>
        <v>0</v>
      </c>
      <c r="H43" s="227"/>
      <c r="I43" s="158"/>
      <c r="J43" s="159"/>
      <c r="K43" s="156"/>
    </row>
    <row r="44" spans="1:11" x14ac:dyDescent="0.2">
      <c r="A44" s="18">
        <v>23</v>
      </c>
      <c r="B44" s="231">
        <f>'דוח ביקורת'!B45:C45</f>
        <v>0</v>
      </c>
      <c r="C44" s="232"/>
      <c r="D44" s="158">
        <f>'דוח ביקורת'!D45</f>
        <v>0</v>
      </c>
      <c r="E44" s="158">
        <f>'דוח ביקורת'!E45</f>
        <v>0</v>
      </c>
      <c r="F44" s="158">
        <f>'דוח ביקורת'!F45</f>
        <v>0</v>
      </c>
      <c r="G44" s="227">
        <f>מבקר!S24</f>
        <v>0</v>
      </c>
      <c r="H44" s="227"/>
      <c r="I44" s="158"/>
      <c r="J44" s="159"/>
      <c r="K44" s="156"/>
    </row>
    <row r="45" spans="1:11" x14ac:dyDescent="0.2">
      <c r="A45" s="18">
        <v>24</v>
      </c>
      <c r="B45" s="231">
        <f>'דוח ביקורת'!B46:C46</f>
        <v>0</v>
      </c>
      <c r="C45" s="232"/>
      <c r="D45" s="158">
        <f>'דוח ביקורת'!D46</f>
        <v>0</v>
      </c>
      <c r="E45" s="158">
        <f>'דוח ביקורת'!E46</f>
        <v>0</v>
      </c>
      <c r="F45" s="158">
        <f>'דוח ביקורת'!F46</f>
        <v>0</v>
      </c>
      <c r="G45" s="227">
        <f>מבקר!S25</f>
        <v>0</v>
      </c>
      <c r="H45" s="227"/>
      <c r="I45" s="158"/>
      <c r="J45" s="159"/>
      <c r="K45" s="156"/>
    </row>
    <row r="46" spans="1:11" x14ac:dyDescent="0.2">
      <c r="A46" s="18">
        <v>25</v>
      </c>
      <c r="B46" s="231">
        <f>'דוח ביקורת'!B47:C47</f>
        <v>0</v>
      </c>
      <c r="C46" s="232"/>
      <c r="D46" s="158">
        <f>'דוח ביקורת'!D47</f>
        <v>0</v>
      </c>
      <c r="E46" s="158">
        <f>'דוח ביקורת'!E47</f>
        <v>0</v>
      </c>
      <c r="F46" s="158">
        <f>'דוח ביקורת'!F47</f>
        <v>0</v>
      </c>
      <c r="G46" s="227">
        <f>מבקר!S26</f>
        <v>0</v>
      </c>
      <c r="H46" s="227"/>
      <c r="I46" s="158"/>
      <c r="J46" s="159"/>
      <c r="K46" s="156"/>
    </row>
    <row r="47" spans="1:11" x14ac:dyDescent="0.2">
      <c r="A47" s="18">
        <v>26</v>
      </c>
      <c r="B47" s="231">
        <f>'דוח ביקורת'!B48:C48</f>
        <v>0</v>
      </c>
      <c r="C47" s="232"/>
      <c r="D47" s="158">
        <f>'דוח ביקורת'!D48</f>
        <v>0</v>
      </c>
      <c r="E47" s="158">
        <f>'דוח ביקורת'!E48</f>
        <v>0</v>
      </c>
      <c r="F47" s="158">
        <f>'דוח ביקורת'!F48</f>
        <v>0</v>
      </c>
      <c r="G47" s="227">
        <f>מבקר!S27</f>
        <v>0</v>
      </c>
      <c r="H47" s="227"/>
      <c r="I47" s="158"/>
      <c r="J47" s="159"/>
      <c r="K47" s="156"/>
    </row>
    <row r="48" spans="1:11" x14ac:dyDescent="0.2">
      <c r="A48" s="18">
        <v>27</v>
      </c>
      <c r="B48" s="231">
        <f>'דוח ביקורת'!B49:C49</f>
        <v>0</v>
      </c>
      <c r="C48" s="232"/>
      <c r="D48" s="158">
        <f>'דוח ביקורת'!D49</f>
        <v>0</v>
      </c>
      <c r="E48" s="158">
        <f>'דוח ביקורת'!E49</f>
        <v>0</v>
      </c>
      <c r="F48" s="158">
        <f>'דוח ביקורת'!F49</f>
        <v>0</v>
      </c>
      <c r="G48" s="227">
        <f>מבקר!S28</f>
        <v>0</v>
      </c>
      <c r="H48" s="227"/>
      <c r="I48" s="158"/>
      <c r="J48" s="159"/>
      <c r="K48" s="156"/>
    </row>
    <row r="49" spans="1:11" x14ac:dyDescent="0.2">
      <c r="A49" s="18">
        <v>28</v>
      </c>
      <c r="B49" s="231">
        <f>'דוח ביקורת'!B50:C50</f>
        <v>0</v>
      </c>
      <c r="C49" s="232"/>
      <c r="D49" s="158">
        <f>'דוח ביקורת'!D50</f>
        <v>0</v>
      </c>
      <c r="E49" s="158">
        <f>'דוח ביקורת'!E50</f>
        <v>0</v>
      </c>
      <c r="F49" s="158">
        <f>'דוח ביקורת'!F50</f>
        <v>0</v>
      </c>
      <c r="G49" s="227">
        <f>מבקר!S29</f>
        <v>0</v>
      </c>
      <c r="H49" s="227"/>
      <c r="I49" s="158"/>
      <c r="J49" s="159"/>
      <c r="K49" s="156"/>
    </row>
    <row r="50" spans="1:11" x14ac:dyDescent="0.2">
      <c r="A50" s="18">
        <v>29</v>
      </c>
      <c r="B50" s="231">
        <f>'דוח ביקורת'!B51:C51</f>
        <v>0</v>
      </c>
      <c r="C50" s="232"/>
      <c r="D50" s="158">
        <f>'דוח ביקורת'!D51</f>
        <v>0</v>
      </c>
      <c r="E50" s="158">
        <f>'דוח ביקורת'!E51</f>
        <v>0</v>
      </c>
      <c r="F50" s="158">
        <f>'דוח ביקורת'!F51</f>
        <v>0</v>
      </c>
      <c r="G50" s="227">
        <f>מבקר!S30</f>
        <v>0</v>
      </c>
      <c r="H50" s="227"/>
      <c r="I50" s="158"/>
      <c r="J50" s="159"/>
      <c r="K50" s="156"/>
    </row>
    <row r="51" spans="1:11" x14ac:dyDescent="0.2">
      <c r="A51" s="18">
        <v>30</v>
      </c>
      <c r="B51" s="231">
        <f>'דוח ביקורת'!B52:C52</f>
        <v>0</v>
      </c>
      <c r="C51" s="232"/>
      <c r="D51" s="158">
        <f>'דוח ביקורת'!D52</f>
        <v>0</v>
      </c>
      <c r="E51" s="158">
        <f>'דוח ביקורת'!E52</f>
        <v>0</v>
      </c>
      <c r="F51" s="158">
        <f>'דוח ביקורת'!F52</f>
        <v>0</v>
      </c>
      <c r="G51" s="227">
        <f>מבקר!S31</f>
        <v>0</v>
      </c>
      <c r="H51" s="227"/>
      <c r="I51" s="158"/>
      <c r="J51" s="159"/>
      <c r="K51" s="156"/>
    </row>
    <row r="52" spans="1:11" x14ac:dyDescent="0.2">
      <c r="A52" s="18">
        <v>31</v>
      </c>
      <c r="B52" s="231">
        <f>'דוח ביקורת'!B53:C53</f>
        <v>0</v>
      </c>
      <c r="C52" s="232"/>
      <c r="D52" s="158">
        <f>'דוח ביקורת'!D53</f>
        <v>0</v>
      </c>
      <c r="E52" s="158">
        <f>'דוח ביקורת'!E53</f>
        <v>0</v>
      </c>
      <c r="F52" s="158">
        <f>'דוח ביקורת'!F53</f>
        <v>0</v>
      </c>
      <c r="G52" s="227">
        <f>מבקר!S32</f>
        <v>0</v>
      </c>
      <c r="H52" s="227"/>
      <c r="I52" s="158"/>
      <c r="J52" s="159"/>
      <c r="K52" s="156"/>
    </row>
    <row r="53" spans="1:11" x14ac:dyDescent="0.2">
      <c r="A53" s="18">
        <v>32</v>
      </c>
      <c r="B53" s="231">
        <f>'דוח ביקורת'!B54:C54</f>
        <v>0</v>
      </c>
      <c r="C53" s="232"/>
      <c r="D53" s="158">
        <f>'דוח ביקורת'!D54</f>
        <v>0</v>
      </c>
      <c r="E53" s="158">
        <f>'דוח ביקורת'!E54</f>
        <v>0</v>
      </c>
      <c r="F53" s="158">
        <f>'דוח ביקורת'!F54</f>
        <v>0</v>
      </c>
      <c r="G53" s="227">
        <f>מבקר!S33</f>
        <v>0</v>
      </c>
      <c r="H53" s="227"/>
      <c r="I53" s="158"/>
      <c r="J53" s="159"/>
      <c r="K53" s="156"/>
    </row>
    <row r="54" spans="1:11" x14ac:dyDescent="0.2">
      <c r="A54" s="18">
        <v>33</v>
      </c>
      <c r="B54" s="231">
        <f>'דוח ביקורת'!B55:C55</f>
        <v>0</v>
      </c>
      <c r="C54" s="232"/>
      <c r="D54" s="158">
        <f>'דוח ביקורת'!D55</f>
        <v>0</v>
      </c>
      <c r="E54" s="158">
        <f>'דוח ביקורת'!E55</f>
        <v>0</v>
      </c>
      <c r="F54" s="158">
        <f>'דוח ביקורת'!F55</f>
        <v>0</v>
      </c>
      <c r="G54" s="227">
        <f>מבקר!S34</f>
        <v>0</v>
      </c>
      <c r="H54" s="227"/>
      <c r="I54" s="158"/>
      <c r="J54" s="159"/>
      <c r="K54" s="156"/>
    </row>
    <row r="55" spans="1:11" x14ac:dyDescent="0.2">
      <c r="A55" s="18">
        <v>34</v>
      </c>
      <c r="B55" s="231">
        <f>'דוח ביקורת'!B56:C56</f>
        <v>0</v>
      </c>
      <c r="C55" s="232"/>
      <c r="D55" s="158">
        <f>'דוח ביקורת'!D56</f>
        <v>0</v>
      </c>
      <c r="E55" s="158">
        <f>'דוח ביקורת'!E56</f>
        <v>0</v>
      </c>
      <c r="F55" s="158">
        <f>'דוח ביקורת'!F56</f>
        <v>0</v>
      </c>
      <c r="G55" s="227">
        <f>מבקר!S35</f>
        <v>0</v>
      </c>
      <c r="H55" s="227"/>
      <c r="I55" s="158"/>
      <c r="J55" s="159"/>
      <c r="K55" s="156"/>
    </row>
    <row r="56" spans="1:11" x14ac:dyDescent="0.2">
      <c r="A56" s="18">
        <v>35</v>
      </c>
      <c r="B56" s="231">
        <f>'דוח ביקורת'!B57:C57</f>
        <v>0</v>
      </c>
      <c r="C56" s="232"/>
      <c r="D56" s="158">
        <f>'דוח ביקורת'!D57</f>
        <v>0</v>
      </c>
      <c r="E56" s="158">
        <f>'דוח ביקורת'!E57</f>
        <v>0</v>
      </c>
      <c r="F56" s="158">
        <f>'דוח ביקורת'!F57</f>
        <v>0</v>
      </c>
      <c r="G56" s="227">
        <f>מבקר!S36</f>
        <v>0</v>
      </c>
      <c r="H56" s="227"/>
      <c r="I56" s="158"/>
      <c r="J56" s="159"/>
      <c r="K56" s="156"/>
    </row>
    <row r="57" spans="1:11" x14ac:dyDescent="0.2">
      <c r="A57" s="18">
        <v>36</v>
      </c>
      <c r="B57" s="231">
        <f>'דוח ביקורת'!B58:C58</f>
        <v>0</v>
      </c>
      <c r="C57" s="232"/>
      <c r="D57" s="158">
        <f>'דוח ביקורת'!D58</f>
        <v>0</v>
      </c>
      <c r="E57" s="158">
        <f>'דוח ביקורת'!E58</f>
        <v>0</v>
      </c>
      <c r="F57" s="158">
        <f>'דוח ביקורת'!F58</f>
        <v>0</v>
      </c>
      <c r="G57" s="227">
        <f>מבקר!S37</f>
        <v>0</v>
      </c>
      <c r="H57" s="227"/>
      <c r="I57" s="158"/>
      <c r="J57" s="159"/>
      <c r="K57" s="156"/>
    </row>
    <row r="58" spans="1:11" x14ac:dyDescent="0.2">
      <c r="A58" s="18">
        <v>37</v>
      </c>
      <c r="B58" s="231">
        <f>'דוח ביקורת'!B59:C59</f>
        <v>0</v>
      </c>
      <c r="C58" s="232"/>
      <c r="D58" s="158">
        <f>'דוח ביקורת'!D59</f>
        <v>0</v>
      </c>
      <c r="E58" s="158">
        <f>'דוח ביקורת'!E59</f>
        <v>0</v>
      </c>
      <c r="F58" s="158">
        <f>'דוח ביקורת'!F59</f>
        <v>0</v>
      </c>
      <c r="G58" s="227">
        <f>מבקר!S38</f>
        <v>0</v>
      </c>
      <c r="H58" s="227"/>
      <c r="I58" s="158"/>
      <c r="J58" s="159"/>
      <c r="K58" s="156"/>
    </row>
    <row r="59" spans="1:11" x14ac:dyDescent="0.2">
      <c r="A59" s="18">
        <v>38</v>
      </c>
      <c r="B59" s="231">
        <f>'דוח ביקורת'!B60:C60</f>
        <v>0</v>
      </c>
      <c r="C59" s="232"/>
      <c r="D59" s="158">
        <f>'דוח ביקורת'!D60</f>
        <v>0</v>
      </c>
      <c r="E59" s="158">
        <f>'דוח ביקורת'!E60</f>
        <v>0</v>
      </c>
      <c r="F59" s="158">
        <f>'דוח ביקורת'!F60</f>
        <v>0</v>
      </c>
      <c r="G59" s="227">
        <f>מבקר!S39</f>
        <v>0</v>
      </c>
      <c r="H59" s="227"/>
      <c r="I59" s="158"/>
      <c r="J59" s="159"/>
      <c r="K59" s="156"/>
    </row>
    <row r="60" spans="1:11" x14ac:dyDescent="0.2">
      <c r="A60" s="18">
        <v>39</v>
      </c>
      <c r="B60" s="231">
        <f>'דוח ביקורת'!B61:C61</f>
        <v>0</v>
      </c>
      <c r="C60" s="232"/>
      <c r="D60" s="158">
        <f>'דוח ביקורת'!D61</f>
        <v>0</v>
      </c>
      <c r="E60" s="158">
        <f>'דוח ביקורת'!E61</f>
        <v>0</v>
      </c>
      <c r="F60" s="158">
        <f>'דוח ביקורת'!F61</f>
        <v>0</v>
      </c>
      <c r="G60" s="227">
        <f>מבקר!S40</f>
        <v>0</v>
      </c>
      <c r="H60" s="227"/>
      <c r="I60" s="158"/>
      <c r="J60" s="159"/>
      <c r="K60" s="156"/>
    </row>
    <row r="61" spans="1:11" x14ac:dyDescent="0.2">
      <c r="A61" s="18">
        <v>40</v>
      </c>
      <c r="B61" s="231">
        <f>'דוח ביקורת'!B62:C62</f>
        <v>0</v>
      </c>
      <c r="C61" s="232"/>
      <c r="D61" s="158">
        <f>'דוח ביקורת'!D62</f>
        <v>0</v>
      </c>
      <c r="E61" s="158">
        <f>'דוח ביקורת'!E62</f>
        <v>0</v>
      </c>
      <c r="F61" s="158">
        <f>'דוח ביקורת'!F62</f>
        <v>0</v>
      </c>
      <c r="G61" s="227"/>
      <c r="H61" s="227">
        <f>מבקר!S41</f>
        <v>0</v>
      </c>
      <c r="I61" s="158"/>
      <c r="J61" s="159"/>
      <c r="K61" s="155"/>
    </row>
    <row r="62" spans="1:11" x14ac:dyDescent="0.2">
      <c r="A62" s="18">
        <v>41</v>
      </c>
      <c r="B62" s="231">
        <f>'דוח ביקורת'!B63:C63</f>
        <v>0</v>
      </c>
      <c r="C62" s="232"/>
      <c r="D62" s="158">
        <f>'דוח ביקורת'!D63</f>
        <v>0</v>
      </c>
      <c r="E62" s="158">
        <f>'דוח ביקורת'!E63</f>
        <v>0</v>
      </c>
      <c r="F62" s="158">
        <f>'דוח ביקורת'!F63</f>
        <v>0</v>
      </c>
      <c r="G62" s="227"/>
      <c r="H62" s="227">
        <f>מבקר!S42</f>
        <v>0</v>
      </c>
      <c r="I62" s="158"/>
      <c r="J62" s="159"/>
      <c r="K62" s="155"/>
    </row>
    <row r="63" spans="1:11" x14ac:dyDescent="0.2">
      <c r="A63" s="18">
        <v>42</v>
      </c>
      <c r="B63" s="231">
        <f>'דוח ביקורת'!B64:C64</f>
        <v>0</v>
      </c>
      <c r="C63" s="232"/>
      <c r="D63" s="158">
        <f>'דוח ביקורת'!D64</f>
        <v>0</v>
      </c>
      <c r="E63" s="158">
        <f>'דוח ביקורת'!E64</f>
        <v>0</v>
      </c>
      <c r="F63" s="158">
        <f>'דוח ביקורת'!F64</f>
        <v>0</v>
      </c>
      <c r="G63" s="227"/>
      <c r="H63" s="227">
        <f>מבקר!S43</f>
        <v>0</v>
      </c>
      <c r="I63" s="158"/>
      <c r="J63" s="159"/>
      <c r="K63" s="156"/>
    </row>
    <row r="64" spans="1:11" x14ac:dyDescent="0.2">
      <c r="A64" s="18">
        <v>43</v>
      </c>
      <c r="B64" s="231">
        <f>'דוח ביקורת'!B65:C65</f>
        <v>0</v>
      </c>
      <c r="C64" s="232"/>
      <c r="D64" s="158">
        <f>'דוח ביקורת'!D65</f>
        <v>0</v>
      </c>
      <c r="E64" s="158">
        <f>'דוח ביקורת'!E65</f>
        <v>0</v>
      </c>
      <c r="F64" s="158">
        <f>'דוח ביקורת'!F65</f>
        <v>0</v>
      </c>
      <c r="G64" s="227"/>
      <c r="H64" s="227">
        <f>מבקר!S44</f>
        <v>0</v>
      </c>
      <c r="I64" s="158"/>
      <c r="J64" s="159"/>
      <c r="K64" s="156"/>
    </row>
    <row r="65" spans="1:11" x14ac:dyDescent="0.2">
      <c r="A65" s="18">
        <v>44</v>
      </c>
      <c r="B65" s="231">
        <f>'דוח ביקורת'!B66:C66</f>
        <v>0</v>
      </c>
      <c r="C65" s="232"/>
      <c r="D65" s="158">
        <f>'דוח ביקורת'!D66</f>
        <v>0</v>
      </c>
      <c r="E65" s="158">
        <f>'דוח ביקורת'!E66</f>
        <v>0</v>
      </c>
      <c r="F65" s="158">
        <f>'דוח ביקורת'!F66</f>
        <v>0</v>
      </c>
      <c r="G65" s="227"/>
      <c r="H65" s="227">
        <f>מבקר!S45</f>
        <v>0</v>
      </c>
      <c r="I65" s="158"/>
      <c r="J65" s="159"/>
      <c r="K65" s="156"/>
    </row>
    <row r="66" spans="1:11" x14ac:dyDescent="0.2">
      <c r="A66" s="18">
        <v>45</v>
      </c>
      <c r="B66" s="231">
        <f>'דוח ביקורת'!B67:C67</f>
        <v>0</v>
      </c>
      <c r="C66" s="232"/>
      <c r="D66" s="158">
        <f>'דוח ביקורת'!D67</f>
        <v>0</v>
      </c>
      <c r="E66" s="158">
        <f>'דוח ביקורת'!E67</f>
        <v>0</v>
      </c>
      <c r="F66" s="158">
        <f>'דוח ביקורת'!F67</f>
        <v>0</v>
      </c>
      <c r="G66" s="227"/>
      <c r="H66" s="227">
        <f>מבקר!S46</f>
        <v>0</v>
      </c>
      <c r="I66" s="158"/>
      <c r="J66" s="159"/>
      <c r="K66" s="156"/>
    </row>
    <row r="67" spans="1:11" x14ac:dyDescent="0.2">
      <c r="A67" s="18">
        <v>46</v>
      </c>
      <c r="B67" s="231">
        <f>'דוח ביקורת'!B68:C68</f>
        <v>0</v>
      </c>
      <c r="C67" s="232"/>
      <c r="D67" s="158">
        <f>'דוח ביקורת'!D68</f>
        <v>0</v>
      </c>
      <c r="E67" s="158">
        <f>'דוח ביקורת'!E68</f>
        <v>0</v>
      </c>
      <c r="F67" s="158">
        <f>'דוח ביקורת'!F68</f>
        <v>0</v>
      </c>
      <c r="G67" s="227"/>
      <c r="H67" s="227">
        <f>מבקר!S47</f>
        <v>0</v>
      </c>
      <c r="I67" s="158"/>
      <c r="J67" s="159"/>
      <c r="K67" s="156"/>
    </row>
    <row r="68" spans="1:11" x14ac:dyDescent="0.2">
      <c r="A68" s="18">
        <v>47</v>
      </c>
      <c r="B68" s="231">
        <f>'דוח ביקורת'!B69:C69</f>
        <v>0</v>
      </c>
      <c r="C68" s="232"/>
      <c r="D68" s="158">
        <f>'דוח ביקורת'!D69</f>
        <v>0</v>
      </c>
      <c r="E68" s="158">
        <f>'דוח ביקורת'!E69</f>
        <v>0</v>
      </c>
      <c r="F68" s="158">
        <f>'דוח ביקורת'!F69</f>
        <v>0</v>
      </c>
      <c r="G68" s="227"/>
      <c r="H68" s="227">
        <f>מבקר!S48</f>
        <v>0</v>
      </c>
      <c r="I68" s="158"/>
      <c r="J68" s="159"/>
      <c r="K68" s="156"/>
    </row>
    <row r="69" spans="1:11" x14ac:dyDescent="0.2">
      <c r="A69" s="18">
        <v>48</v>
      </c>
      <c r="B69" s="231">
        <f>'דוח ביקורת'!B70:C70</f>
        <v>0</v>
      </c>
      <c r="C69" s="232"/>
      <c r="D69" s="158">
        <f>'דוח ביקורת'!D70</f>
        <v>0</v>
      </c>
      <c r="E69" s="158">
        <f>'דוח ביקורת'!E70</f>
        <v>0</v>
      </c>
      <c r="F69" s="158">
        <f>'דוח ביקורת'!F70</f>
        <v>0</v>
      </c>
      <c r="G69" s="227"/>
      <c r="H69" s="227">
        <f>מבקר!S49</f>
        <v>0</v>
      </c>
      <c r="I69" s="158"/>
      <c r="J69" s="159"/>
      <c r="K69" s="156"/>
    </row>
    <row r="70" spans="1:11" x14ac:dyDescent="0.2">
      <c r="A70" s="18">
        <v>49</v>
      </c>
      <c r="B70" s="231">
        <f>'דוח ביקורת'!B71:C71</f>
        <v>0</v>
      </c>
      <c r="C70" s="232"/>
      <c r="D70" s="158">
        <f>'דוח ביקורת'!D71</f>
        <v>0</v>
      </c>
      <c r="E70" s="158">
        <f>'דוח ביקורת'!E71</f>
        <v>0</v>
      </c>
      <c r="F70" s="158">
        <f>'דוח ביקורת'!F71</f>
        <v>0</v>
      </c>
      <c r="G70" s="227"/>
      <c r="H70" s="227">
        <f>מבקר!S50</f>
        <v>0</v>
      </c>
      <c r="I70" s="158"/>
      <c r="J70" s="159"/>
      <c r="K70" s="156"/>
    </row>
    <row r="71" spans="1:11" x14ac:dyDescent="0.2">
      <c r="A71" s="18">
        <v>50</v>
      </c>
      <c r="B71" s="231">
        <f>'דוח ביקורת'!B72:C72</f>
        <v>0</v>
      </c>
      <c r="C71" s="232"/>
      <c r="D71" s="158">
        <f>'דוח ביקורת'!D72</f>
        <v>0</v>
      </c>
      <c r="E71" s="158">
        <f>'דוח ביקורת'!E72</f>
        <v>0</v>
      </c>
      <c r="F71" s="158">
        <f>'דוח ביקורת'!F72</f>
        <v>0</v>
      </c>
      <c r="G71" s="227"/>
      <c r="H71" s="227">
        <f>מבקר!S51</f>
        <v>0</v>
      </c>
      <c r="I71" s="158"/>
      <c r="J71" s="159"/>
      <c r="K71" s="156"/>
    </row>
    <row r="72" spans="1:11" x14ac:dyDescent="0.2">
      <c r="A72" s="18">
        <v>51</v>
      </c>
      <c r="B72" s="231">
        <f>'דוח ביקורת'!B73:C73</f>
        <v>0</v>
      </c>
      <c r="C72" s="232"/>
      <c r="D72" s="158">
        <f>'דוח ביקורת'!D73</f>
        <v>0</v>
      </c>
      <c r="E72" s="158">
        <f>'דוח ביקורת'!E73</f>
        <v>0</v>
      </c>
      <c r="F72" s="158">
        <f>'דוח ביקורת'!F73</f>
        <v>0</v>
      </c>
      <c r="G72" s="227"/>
      <c r="H72" s="227">
        <f>מבקר!S52</f>
        <v>0</v>
      </c>
      <c r="I72" s="158"/>
      <c r="J72" s="159"/>
      <c r="K72" s="156"/>
    </row>
    <row r="73" spans="1:11" x14ac:dyDescent="0.2">
      <c r="A73" s="18">
        <v>52</v>
      </c>
      <c r="B73" s="231">
        <f>'דוח ביקורת'!B74:C74</f>
        <v>0</v>
      </c>
      <c r="C73" s="232"/>
      <c r="D73" s="158">
        <f>'דוח ביקורת'!D74</f>
        <v>0</v>
      </c>
      <c r="E73" s="158">
        <f>'דוח ביקורת'!E74</f>
        <v>0</v>
      </c>
      <c r="F73" s="158">
        <f>'דוח ביקורת'!F74</f>
        <v>0</v>
      </c>
      <c r="G73" s="227"/>
      <c r="H73" s="227">
        <f>מבקר!S53</f>
        <v>0</v>
      </c>
      <c r="I73" s="158"/>
      <c r="J73" s="159"/>
      <c r="K73" s="156"/>
    </row>
    <row r="74" spans="1:11" ht="15" thickBot="1" x14ac:dyDescent="0.25">
      <c r="A74" s="19">
        <v>53</v>
      </c>
      <c r="B74" s="231">
        <f>'דוח ביקורת'!B75:C75</f>
        <v>0</v>
      </c>
      <c r="C74" s="232"/>
      <c r="D74" s="158">
        <f>'דוח ביקורת'!D75</f>
        <v>0</v>
      </c>
      <c r="E74" s="158">
        <f>'דוח ביקורת'!E75</f>
        <v>0</v>
      </c>
      <c r="F74" s="158">
        <f>'דוח ביקורת'!F75</f>
        <v>0</v>
      </c>
      <c r="G74" s="227"/>
      <c r="H74" s="227">
        <f>מבקר!S54</f>
        <v>0</v>
      </c>
      <c r="I74" s="158"/>
      <c r="J74" s="159"/>
      <c r="K74" s="156"/>
    </row>
    <row r="75" spans="1:11" x14ac:dyDescent="0.2">
      <c r="A75" s="18">
        <v>54</v>
      </c>
      <c r="B75" s="231">
        <f>'דוח ביקורת'!B76:C76</f>
        <v>0</v>
      </c>
      <c r="C75" s="232"/>
      <c r="D75" s="158">
        <f>'דוח ביקורת'!D76</f>
        <v>0</v>
      </c>
      <c r="E75" s="158">
        <f>'דוח ביקורת'!E76</f>
        <v>0</v>
      </c>
      <c r="F75" s="158">
        <f>'דוח ביקורת'!F76</f>
        <v>0</v>
      </c>
      <c r="G75" s="227"/>
      <c r="H75" s="227">
        <f>מבקר!S55</f>
        <v>0</v>
      </c>
      <c r="I75" s="158"/>
      <c r="J75" s="159"/>
      <c r="K75" s="156"/>
    </row>
    <row r="76" spans="1:11" x14ac:dyDescent="0.2">
      <c r="A76" s="18">
        <v>55</v>
      </c>
      <c r="B76" s="231">
        <f>'דוח ביקורת'!B77:C77</f>
        <v>0</v>
      </c>
      <c r="C76" s="232"/>
      <c r="D76" s="158">
        <f>'דוח ביקורת'!D77</f>
        <v>0</v>
      </c>
      <c r="E76" s="158">
        <f>'דוח ביקורת'!E77</f>
        <v>0</v>
      </c>
      <c r="F76" s="158">
        <f>'דוח ביקורת'!F77</f>
        <v>0</v>
      </c>
      <c r="G76" s="227"/>
      <c r="H76" s="227">
        <f>מבקר!S56</f>
        <v>0</v>
      </c>
      <c r="I76" s="158"/>
      <c r="J76" s="159"/>
      <c r="K76" s="156"/>
    </row>
    <row r="77" spans="1:11" x14ac:dyDescent="0.2">
      <c r="A77" s="18">
        <v>56</v>
      </c>
      <c r="B77" s="231">
        <f>'דוח ביקורת'!B78:C78</f>
        <v>0</v>
      </c>
      <c r="C77" s="232"/>
      <c r="D77" s="158">
        <f>'דוח ביקורת'!D78</f>
        <v>0</v>
      </c>
      <c r="E77" s="158">
        <f>'דוח ביקורת'!E78</f>
        <v>0</v>
      </c>
      <c r="F77" s="158">
        <f>'דוח ביקורת'!F78</f>
        <v>0</v>
      </c>
      <c r="G77" s="227"/>
      <c r="H77" s="227">
        <f>מבקר!S57</f>
        <v>0</v>
      </c>
      <c r="I77" s="158"/>
      <c r="J77" s="159"/>
      <c r="K77" s="156"/>
    </row>
    <row r="78" spans="1:11" x14ac:dyDescent="0.2">
      <c r="A78" s="18">
        <v>57</v>
      </c>
      <c r="B78" s="231">
        <f>'דוח ביקורת'!B79:C79</f>
        <v>0</v>
      </c>
      <c r="C78" s="232"/>
      <c r="D78" s="158">
        <f>'דוח ביקורת'!D79</f>
        <v>0</v>
      </c>
      <c r="E78" s="158">
        <f>'דוח ביקורת'!E79</f>
        <v>0</v>
      </c>
      <c r="F78" s="158">
        <f>'דוח ביקורת'!F79</f>
        <v>0</v>
      </c>
      <c r="G78" s="227"/>
      <c r="H78" s="227">
        <f>מבקר!S58</f>
        <v>0</v>
      </c>
      <c r="I78" s="158"/>
      <c r="J78" s="159"/>
      <c r="K78" s="156"/>
    </row>
    <row r="79" spans="1:11" x14ac:dyDescent="0.2">
      <c r="A79" s="18">
        <v>58</v>
      </c>
      <c r="B79" s="231">
        <f>'דוח ביקורת'!B80:C80</f>
        <v>0</v>
      </c>
      <c r="C79" s="232"/>
      <c r="D79" s="158">
        <f>'דוח ביקורת'!D80</f>
        <v>0</v>
      </c>
      <c r="E79" s="158">
        <f>'דוח ביקורת'!E80</f>
        <v>0</v>
      </c>
      <c r="F79" s="158">
        <f>'דוח ביקורת'!F80</f>
        <v>0</v>
      </c>
      <c r="G79" s="227"/>
      <c r="H79" s="227">
        <f>מבקר!S59</f>
        <v>0</v>
      </c>
      <c r="I79" s="158"/>
      <c r="J79" s="159"/>
      <c r="K79" s="156"/>
    </row>
    <row r="80" spans="1:11" x14ac:dyDescent="0.2">
      <c r="A80" s="18">
        <v>59</v>
      </c>
      <c r="B80" s="231">
        <f>'דוח ביקורת'!B81:C81</f>
        <v>0</v>
      </c>
      <c r="C80" s="232"/>
      <c r="D80" s="158">
        <f>'דוח ביקורת'!D81</f>
        <v>0</v>
      </c>
      <c r="E80" s="158">
        <f>'דוח ביקורת'!E81</f>
        <v>0</v>
      </c>
      <c r="F80" s="158">
        <f>'דוח ביקורת'!F81</f>
        <v>0</v>
      </c>
      <c r="G80" s="227"/>
      <c r="H80" s="227">
        <f>מבקר!S60</f>
        <v>0</v>
      </c>
      <c r="I80" s="158"/>
      <c r="J80" s="159"/>
      <c r="K80" s="156"/>
    </row>
    <row r="81" spans="1:11" x14ac:dyDescent="0.2">
      <c r="A81" s="18">
        <v>60</v>
      </c>
      <c r="B81" s="231">
        <f>'דוח ביקורת'!B82:C82</f>
        <v>0</v>
      </c>
      <c r="C81" s="232"/>
      <c r="D81" s="158">
        <f>'דוח ביקורת'!D82</f>
        <v>0</v>
      </c>
      <c r="E81" s="158">
        <f>'דוח ביקורת'!E82</f>
        <v>0</v>
      </c>
      <c r="F81" s="158">
        <f>'דוח ביקורת'!F82</f>
        <v>0</v>
      </c>
      <c r="G81" s="227"/>
      <c r="H81" s="227">
        <f>מבקר!S61</f>
        <v>0</v>
      </c>
      <c r="I81" s="158"/>
      <c r="J81" s="159"/>
      <c r="K81" s="156"/>
    </row>
    <row r="82" spans="1:11" x14ac:dyDescent="0.2">
      <c r="A82" s="18">
        <v>61</v>
      </c>
      <c r="B82" s="231">
        <f>'דוח ביקורת'!B83:C83</f>
        <v>0</v>
      </c>
      <c r="C82" s="232"/>
      <c r="D82" s="158">
        <f>'דוח ביקורת'!D83</f>
        <v>0</v>
      </c>
      <c r="E82" s="158">
        <f>'דוח ביקורת'!E83</f>
        <v>0</v>
      </c>
      <c r="F82" s="158">
        <f>'דוח ביקורת'!F83</f>
        <v>0</v>
      </c>
      <c r="G82" s="227"/>
      <c r="H82" s="227">
        <f>מבקר!S62</f>
        <v>0</v>
      </c>
      <c r="I82" s="158"/>
      <c r="J82" s="159"/>
      <c r="K82" s="156"/>
    </row>
    <row r="83" spans="1:11" x14ac:dyDescent="0.2">
      <c r="A83" s="18">
        <v>62</v>
      </c>
      <c r="B83" s="231">
        <f>'דוח ביקורת'!B84:C84</f>
        <v>0</v>
      </c>
      <c r="C83" s="232"/>
      <c r="D83" s="158">
        <f>'דוח ביקורת'!D84</f>
        <v>0</v>
      </c>
      <c r="E83" s="158">
        <f>'דוח ביקורת'!E84</f>
        <v>0</v>
      </c>
      <c r="F83" s="158">
        <f>'דוח ביקורת'!F84</f>
        <v>0</v>
      </c>
      <c r="G83" s="227"/>
      <c r="H83" s="227">
        <f>מבקר!S63</f>
        <v>0</v>
      </c>
      <c r="I83" s="158"/>
      <c r="J83" s="159"/>
      <c r="K83" s="156"/>
    </row>
    <row r="84" spans="1:11" x14ac:dyDescent="0.2">
      <c r="A84" s="18">
        <v>63</v>
      </c>
      <c r="B84" s="231">
        <f>'דוח ביקורת'!B85:C85</f>
        <v>0</v>
      </c>
      <c r="C84" s="232"/>
      <c r="D84" s="158">
        <f>'דוח ביקורת'!D85</f>
        <v>0</v>
      </c>
      <c r="E84" s="158">
        <f>'דוח ביקורת'!E85</f>
        <v>0</v>
      </c>
      <c r="F84" s="158">
        <f>'דוח ביקורת'!F85</f>
        <v>0</v>
      </c>
      <c r="G84" s="227"/>
      <c r="H84" s="227">
        <f>מבקר!S64</f>
        <v>0</v>
      </c>
      <c r="I84" s="158"/>
      <c r="J84" s="159"/>
      <c r="K84" s="156"/>
    </row>
    <row r="85" spans="1:11" x14ac:dyDescent="0.2">
      <c r="A85" s="18">
        <v>64</v>
      </c>
      <c r="B85" s="231">
        <f>'דוח ביקורת'!B86:C86</f>
        <v>0</v>
      </c>
      <c r="C85" s="232"/>
      <c r="D85" s="158">
        <f>'דוח ביקורת'!D86</f>
        <v>0</v>
      </c>
      <c r="E85" s="158">
        <f>'דוח ביקורת'!E86</f>
        <v>0</v>
      </c>
      <c r="F85" s="158">
        <f>'דוח ביקורת'!F86</f>
        <v>0</v>
      </c>
      <c r="G85" s="227"/>
      <c r="H85" s="227">
        <f>מבקר!S65</f>
        <v>0</v>
      </c>
      <c r="I85" s="158"/>
      <c r="J85" s="159"/>
      <c r="K85" s="156"/>
    </row>
    <row r="86" spans="1:11" x14ac:dyDescent="0.2">
      <c r="A86" s="18">
        <v>65</v>
      </c>
      <c r="B86" s="231">
        <f>'דוח ביקורת'!B87:C87</f>
        <v>0</v>
      </c>
      <c r="C86" s="232"/>
      <c r="D86" s="158">
        <f>'דוח ביקורת'!D87</f>
        <v>0</v>
      </c>
      <c r="E86" s="158">
        <f>'דוח ביקורת'!E87</f>
        <v>0</v>
      </c>
      <c r="F86" s="158">
        <f>'דוח ביקורת'!F87</f>
        <v>0</v>
      </c>
      <c r="G86" s="227"/>
      <c r="H86" s="227">
        <f>מבקר!S66</f>
        <v>0</v>
      </c>
      <c r="I86" s="158"/>
      <c r="J86" s="159"/>
      <c r="K86" s="156"/>
    </row>
    <row r="87" spans="1:11" x14ac:dyDescent="0.2">
      <c r="A87" s="18">
        <v>66</v>
      </c>
      <c r="B87" s="231">
        <f>'דוח ביקורת'!B88:C88</f>
        <v>0</v>
      </c>
      <c r="C87" s="232"/>
      <c r="D87" s="158">
        <f>'דוח ביקורת'!D88</f>
        <v>0</v>
      </c>
      <c r="E87" s="158">
        <f>'דוח ביקורת'!E88</f>
        <v>0</v>
      </c>
      <c r="F87" s="158">
        <f>'דוח ביקורת'!F88</f>
        <v>0</v>
      </c>
      <c r="G87" s="227"/>
      <c r="H87" s="227">
        <f>מבקר!S67</f>
        <v>0</v>
      </c>
      <c r="I87" s="158"/>
      <c r="J87" s="159"/>
      <c r="K87" s="156"/>
    </row>
    <row r="88" spans="1:11" x14ac:dyDescent="0.2">
      <c r="A88" s="18">
        <v>67</v>
      </c>
      <c r="B88" s="231">
        <f>'דוח ביקורת'!B89:C89</f>
        <v>0</v>
      </c>
      <c r="C88" s="232"/>
      <c r="D88" s="158">
        <f>'דוח ביקורת'!D89</f>
        <v>0</v>
      </c>
      <c r="E88" s="158">
        <f>'דוח ביקורת'!E89</f>
        <v>0</v>
      </c>
      <c r="F88" s="158">
        <f>'דוח ביקורת'!F89</f>
        <v>0</v>
      </c>
      <c r="G88" s="227"/>
      <c r="H88" s="227">
        <f>מבקר!S68</f>
        <v>0</v>
      </c>
      <c r="I88" s="158"/>
      <c r="J88" s="159"/>
      <c r="K88" s="156"/>
    </row>
    <row r="89" spans="1:11" x14ac:dyDescent="0.2">
      <c r="A89" s="18">
        <v>68</v>
      </c>
      <c r="B89" s="231">
        <f>'דוח ביקורת'!B90:C90</f>
        <v>0</v>
      </c>
      <c r="C89" s="232"/>
      <c r="D89" s="158">
        <f>'דוח ביקורת'!D90</f>
        <v>0</v>
      </c>
      <c r="E89" s="158">
        <f>'דוח ביקורת'!E90</f>
        <v>0</v>
      </c>
      <c r="F89" s="158">
        <f>'דוח ביקורת'!F90</f>
        <v>0</v>
      </c>
      <c r="G89" s="227"/>
      <c r="H89" s="227">
        <f>מבקר!S69</f>
        <v>0</v>
      </c>
      <c r="I89" s="158"/>
      <c r="J89" s="159"/>
      <c r="K89" s="156"/>
    </row>
    <row r="90" spans="1:11" x14ac:dyDescent="0.2">
      <c r="A90" s="18">
        <v>69</v>
      </c>
      <c r="B90" s="231">
        <f>'דוח ביקורת'!B91:C91</f>
        <v>0</v>
      </c>
      <c r="C90" s="232"/>
      <c r="D90" s="158">
        <f>'דוח ביקורת'!D91</f>
        <v>0</v>
      </c>
      <c r="E90" s="158">
        <f>'דוח ביקורת'!E91</f>
        <v>0</v>
      </c>
      <c r="F90" s="158">
        <f>'דוח ביקורת'!F91</f>
        <v>0</v>
      </c>
      <c r="G90" s="227"/>
      <c r="H90" s="227">
        <f>מבקר!S70</f>
        <v>0</v>
      </c>
      <c r="I90" s="158"/>
      <c r="J90" s="159"/>
      <c r="K90" s="156"/>
    </row>
    <row r="91" spans="1:11" x14ac:dyDescent="0.2">
      <c r="A91" s="18">
        <v>70</v>
      </c>
      <c r="B91" s="231">
        <f>'דוח ביקורת'!B92:C92</f>
        <v>0</v>
      </c>
      <c r="C91" s="232"/>
      <c r="D91" s="158">
        <f>'דוח ביקורת'!D92</f>
        <v>0</v>
      </c>
      <c r="E91" s="158">
        <f>'דוח ביקורת'!E92</f>
        <v>0</v>
      </c>
      <c r="F91" s="158">
        <f>'דוח ביקורת'!F92</f>
        <v>0</v>
      </c>
      <c r="G91" s="227"/>
      <c r="H91" s="227">
        <f>מבקר!S71</f>
        <v>0</v>
      </c>
      <c r="I91" s="158"/>
      <c r="J91" s="159"/>
      <c r="K91" s="156"/>
    </row>
    <row r="92" spans="1:11" x14ac:dyDescent="0.2">
      <c r="A92" s="18">
        <v>71</v>
      </c>
      <c r="B92" s="231">
        <f>'דוח ביקורת'!B93:C93</f>
        <v>0</v>
      </c>
      <c r="C92" s="232"/>
      <c r="D92" s="158">
        <f>'דוח ביקורת'!D93</f>
        <v>0</v>
      </c>
      <c r="E92" s="158">
        <f>'דוח ביקורת'!E93</f>
        <v>0</v>
      </c>
      <c r="F92" s="158">
        <f>'דוח ביקורת'!F93</f>
        <v>0</v>
      </c>
      <c r="G92" s="227"/>
      <c r="H92" s="227">
        <f>מבקר!S72</f>
        <v>0</v>
      </c>
      <c r="I92" s="158"/>
      <c r="J92" s="159"/>
      <c r="K92" s="156"/>
    </row>
    <row r="93" spans="1:11" x14ac:dyDescent="0.2">
      <c r="A93" s="18">
        <v>72</v>
      </c>
      <c r="B93" s="231">
        <f>'דוח ביקורת'!B94:C94</f>
        <v>0</v>
      </c>
      <c r="C93" s="232"/>
      <c r="D93" s="158">
        <f>'דוח ביקורת'!D94</f>
        <v>0</v>
      </c>
      <c r="E93" s="158">
        <f>'דוח ביקורת'!E94</f>
        <v>0</v>
      </c>
      <c r="F93" s="158">
        <f>'דוח ביקורת'!F94</f>
        <v>0</v>
      </c>
      <c r="G93" s="227"/>
      <c r="H93" s="227">
        <f>מבקר!S73</f>
        <v>0</v>
      </c>
      <c r="I93" s="158"/>
      <c r="J93" s="159"/>
      <c r="K93" s="156"/>
    </row>
    <row r="94" spans="1:11" x14ac:dyDescent="0.2">
      <c r="A94" s="18">
        <v>73</v>
      </c>
      <c r="B94" s="231">
        <f>'דוח ביקורת'!B95:C95</f>
        <v>0</v>
      </c>
      <c r="C94" s="232"/>
      <c r="D94" s="158">
        <f>'דוח ביקורת'!D95</f>
        <v>0</v>
      </c>
      <c r="E94" s="158">
        <f>'דוח ביקורת'!E95</f>
        <v>0</v>
      </c>
      <c r="F94" s="158">
        <f>'דוח ביקורת'!F95</f>
        <v>0</v>
      </c>
      <c r="G94" s="227"/>
      <c r="H94" s="227">
        <f>מבקר!S74</f>
        <v>0</v>
      </c>
      <c r="I94" s="158"/>
      <c r="J94" s="159"/>
      <c r="K94" s="156"/>
    </row>
    <row r="95" spans="1:11" x14ac:dyDescent="0.2">
      <c r="A95" s="18">
        <v>74</v>
      </c>
      <c r="B95" s="231">
        <f>'דוח ביקורת'!B96:C96</f>
        <v>0</v>
      </c>
      <c r="C95" s="232"/>
      <c r="D95" s="158">
        <f>'דוח ביקורת'!D96</f>
        <v>0</v>
      </c>
      <c r="E95" s="158">
        <f>'דוח ביקורת'!E96</f>
        <v>0</v>
      </c>
      <c r="F95" s="158">
        <f>'דוח ביקורת'!F96</f>
        <v>0</v>
      </c>
      <c r="G95" s="227"/>
      <c r="H95" s="227">
        <f>מבקר!S75</f>
        <v>0</v>
      </c>
      <c r="I95" s="158"/>
      <c r="J95" s="159"/>
      <c r="K95" s="156"/>
    </row>
    <row r="96" spans="1:11" x14ac:dyDescent="0.2">
      <c r="A96" s="18">
        <v>75</v>
      </c>
      <c r="B96" s="231">
        <f>'דוח ביקורת'!B97:C97</f>
        <v>0</v>
      </c>
      <c r="C96" s="232"/>
      <c r="D96" s="158">
        <f>'דוח ביקורת'!D97</f>
        <v>0</v>
      </c>
      <c r="E96" s="158">
        <f>'דוח ביקורת'!E97</f>
        <v>0</v>
      </c>
      <c r="F96" s="158">
        <f>'דוח ביקורת'!F97</f>
        <v>0</v>
      </c>
      <c r="G96" s="227"/>
      <c r="H96" s="227">
        <f>מבקר!S76</f>
        <v>0</v>
      </c>
      <c r="I96" s="158"/>
      <c r="J96" s="159"/>
      <c r="K96" s="156"/>
    </row>
    <row r="97" spans="1:11" x14ac:dyDescent="0.2">
      <c r="A97" s="18">
        <v>76</v>
      </c>
      <c r="B97" s="231">
        <f>'דוח ביקורת'!B98:C98</f>
        <v>0</v>
      </c>
      <c r="C97" s="232"/>
      <c r="D97" s="158">
        <f>'דוח ביקורת'!D98</f>
        <v>0</v>
      </c>
      <c r="E97" s="158">
        <f>'דוח ביקורת'!E98</f>
        <v>0</v>
      </c>
      <c r="F97" s="158">
        <f>'דוח ביקורת'!F98</f>
        <v>0</v>
      </c>
      <c r="G97" s="227"/>
      <c r="H97" s="227">
        <f>מבקר!S77</f>
        <v>0</v>
      </c>
      <c r="I97" s="158"/>
      <c r="J97" s="159"/>
      <c r="K97" s="156"/>
    </row>
    <row r="98" spans="1:11" x14ac:dyDescent="0.2">
      <c r="A98" s="18">
        <v>77</v>
      </c>
      <c r="B98" s="231">
        <f>'דוח ביקורת'!B99:C99</f>
        <v>0</v>
      </c>
      <c r="C98" s="232"/>
      <c r="D98" s="158">
        <f>'דוח ביקורת'!D99</f>
        <v>0</v>
      </c>
      <c r="E98" s="158">
        <f>'דוח ביקורת'!E99</f>
        <v>0</v>
      </c>
      <c r="F98" s="158">
        <f>'דוח ביקורת'!F99</f>
        <v>0</v>
      </c>
      <c r="G98" s="227"/>
      <c r="H98" s="227">
        <f>מבקר!S78</f>
        <v>0</v>
      </c>
      <c r="I98" s="158"/>
      <c r="J98" s="159"/>
      <c r="K98" s="156"/>
    </row>
    <row r="99" spans="1:11" x14ac:dyDescent="0.2">
      <c r="A99" s="18">
        <v>78</v>
      </c>
      <c r="B99" s="231">
        <f>'דוח ביקורת'!B100:C100</f>
        <v>0</v>
      </c>
      <c r="C99" s="232"/>
      <c r="D99" s="158">
        <f>'דוח ביקורת'!D100</f>
        <v>0</v>
      </c>
      <c r="E99" s="158">
        <f>'דוח ביקורת'!E100</f>
        <v>0</v>
      </c>
      <c r="F99" s="158">
        <f>'דוח ביקורת'!F100</f>
        <v>0</v>
      </c>
      <c r="G99" s="227"/>
      <c r="H99" s="227">
        <f>מבקר!S79</f>
        <v>0</v>
      </c>
      <c r="I99" s="158"/>
      <c r="J99" s="159"/>
      <c r="K99" s="156"/>
    </row>
    <row r="100" spans="1:11" ht="15" thickBot="1" x14ac:dyDescent="0.25">
      <c r="A100" s="19">
        <v>79</v>
      </c>
      <c r="B100" s="231">
        <f>'דוח ביקורת'!B101:C101</f>
        <v>0</v>
      </c>
      <c r="C100" s="232"/>
      <c r="D100" s="158" t="str">
        <f>'דוח ביקורת'!D101</f>
        <v>YO MISTER WHITE</v>
      </c>
      <c r="E100" s="158">
        <f>'דוח ביקורת'!E101</f>
        <v>0</v>
      </c>
      <c r="F100" s="158">
        <f>'דוח ביקורת'!F101</f>
        <v>0</v>
      </c>
      <c r="G100" s="227"/>
      <c r="H100" s="227">
        <f>מבקר!S80</f>
        <v>0</v>
      </c>
      <c r="I100" s="158"/>
      <c r="J100" s="159"/>
      <c r="K100" s="156"/>
    </row>
    <row r="101" spans="1:11" x14ac:dyDescent="0.2">
      <c r="B101" s="154"/>
      <c r="C101" s="154"/>
      <c r="K101" s="157"/>
    </row>
    <row r="102" spans="1:11" x14ac:dyDescent="0.2">
      <c r="B102" s="154"/>
      <c r="C102" s="154"/>
      <c r="K102" s="157"/>
    </row>
    <row r="103" spans="1:11" x14ac:dyDescent="0.2">
      <c r="B103" s="154"/>
      <c r="C103" s="154"/>
      <c r="K103" s="157"/>
    </row>
    <row r="104" spans="1:11" x14ac:dyDescent="0.2">
      <c r="B104" s="154"/>
      <c r="C104" s="154"/>
      <c r="K104" s="157"/>
    </row>
    <row r="105" spans="1:11" x14ac:dyDescent="0.2">
      <c r="B105" s="154"/>
      <c r="C105" s="154"/>
      <c r="K105" s="157"/>
    </row>
    <row r="106" spans="1:11" x14ac:dyDescent="0.2">
      <c r="B106" s="154"/>
      <c r="C106" s="154"/>
      <c r="K106" s="157"/>
    </row>
    <row r="107" spans="1:11" x14ac:dyDescent="0.2">
      <c r="B107" s="154"/>
      <c r="C107" s="154"/>
      <c r="K107" s="157"/>
    </row>
    <row r="108" spans="1:11" x14ac:dyDescent="0.2">
      <c r="B108" s="154"/>
      <c r="C108" s="154"/>
      <c r="K108" s="157"/>
    </row>
    <row r="109" spans="1:11" x14ac:dyDescent="0.2">
      <c r="B109" s="154"/>
      <c r="C109" s="154"/>
      <c r="K109" s="157"/>
    </row>
    <row r="110" spans="1:11" x14ac:dyDescent="0.2">
      <c r="B110" s="154"/>
      <c r="C110" s="154"/>
      <c r="K110" s="157"/>
    </row>
    <row r="111" spans="1:11" x14ac:dyDescent="0.2">
      <c r="B111" s="154"/>
      <c r="C111" s="154"/>
      <c r="K111" s="157"/>
    </row>
    <row r="112" spans="1:11" x14ac:dyDescent="0.2">
      <c r="B112" s="154"/>
      <c r="C112" s="154"/>
      <c r="K112" s="157"/>
    </row>
    <row r="113" spans="2:11" x14ac:dyDescent="0.2">
      <c r="B113" s="154"/>
      <c r="C113" s="154"/>
      <c r="K113" s="157"/>
    </row>
    <row r="114" spans="2:11" x14ac:dyDescent="0.2">
      <c r="B114" s="154"/>
      <c r="C114" s="154"/>
      <c r="K114" s="157"/>
    </row>
    <row r="115" spans="2:11" x14ac:dyDescent="0.2">
      <c r="B115" s="154"/>
      <c r="C115" s="154"/>
      <c r="K115" s="157"/>
    </row>
    <row r="116" spans="2:11" x14ac:dyDescent="0.2">
      <c r="B116" s="154"/>
      <c r="C116" s="154"/>
      <c r="K116" s="157"/>
    </row>
    <row r="117" spans="2:11" x14ac:dyDescent="0.2">
      <c r="B117" s="154"/>
      <c r="C117" s="154"/>
      <c r="K117" s="157"/>
    </row>
    <row r="118" spans="2:11" x14ac:dyDescent="0.2">
      <c r="B118" s="154"/>
      <c r="C118" s="154"/>
      <c r="K118" s="157"/>
    </row>
    <row r="119" spans="2:11" x14ac:dyDescent="0.2">
      <c r="B119" s="154"/>
      <c r="C119" s="154"/>
      <c r="K119" s="157"/>
    </row>
  </sheetData>
  <mergeCells count="195">
    <mergeCell ref="A1:E1"/>
    <mergeCell ref="F1:H1"/>
    <mergeCell ref="I1:K1"/>
    <mergeCell ref="A3:C3"/>
    <mergeCell ref="D3:K3"/>
    <mergeCell ref="A5:C5"/>
    <mergeCell ref="D5:K5"/>
    <mergeCell ref="B11:E11"/>
    <mergeCell ref="G11:I11"/>
    <mergeCell ref="J11:K11"/>
    <mergeCell ref="E7:K7"/>
    <mergeCell ref="A13:B13"/>
    <mergeCell ref="C13:E13"/>
    <mergeCell ref="G13:I13"/>
    <mergeCell ref="J13:K13"/>
    <mergeCell ref="A7:B7"/>
    <mergeCell ref="A9:B9"/>
    <mergeCell ref="C9:K9"/>
    <mergeCell ref="G26:H26"/>
    <mergeCell ref="G27:H27"/>
    <mergeCell ref="A15:B15"/>
    <mergeCell ref="C15:D15"/>
    <mergeCell ref="F15:H15"/>
    <mergeCell ref="I15:K15"/>
    <mergeCell ref="A17:B17"/>
    <mergeCell ref="C17:D17"/>
    <mergeCell ref="E17:F17"/>
    <mergeCell ref="G17:H17"/>
    <mergeCell ref="J17:K17"/>
    <mergeCell ref="B24:C24"/>
    <mergeCell ref="B25:C25"/>
    <mergeCell ref="J19:J20"/>
    <mergeCell ref="B22:C22"/>
    <mergeCell ref="B23:C23"/>
    <mergeCell ref="A19:A20"/>
    <mergeCell ref="B19:C20"/>
    <mergeCell ref="D19:D20"/>
    <mergeCell ref="E19:E20"/>
    <mergeCell ref="G24:H24"/>
    <mergeCell ref="G25:H25"/>
    <mergeCell ref="B34:C34"/>
    <mergeCell ref="B35:C35"/>
    <mergeCell ref="B32:C32"/>
    <mergeCell ref="B33:C33"/>
    <mergeCell ref="B30:C30"/>
    <mergeCell ref="B31:C31"/>
    <mergeCell ref="B28:C28"/>
    <mergeCell ref="B29:C29"/>
    <mergeCell ref="B26:C26"/>
    <mergeCell ref="B27:C27"/>
    <mergeCell ref="B44:C44"/>
    <mergeCell ref="B45:C45"/>
    <mergeCell ref="B42:C42"/>
    <mergeCell ref="B43:C43"/>
    <mergeCell ref="B40:C40"/>
    <mergeCell ref="B41:C41"/>
    <mergeCell ref="B38:C38"/>
    <mergeCell ref="B39:C39"/>
    <mergeCell ref="B36:C36"/>
    <mergeCell ref="B37:C37"/>
    <mergeCell ref="B54:C54"/>
    <mergeCell ref="B55:C55"/>
    <mergeCell ref="B52:C52"/>
    <mergeCell ref="B53:C53"/>
    <mergeCell ref="B50:C50"/>
    <mergeCell ref="B51:C51"/>
    <mergeCell ref="B48:C48"/>
    <mergeCell ref="B49:C49"/>
    <mergeCell ref="B46:C46"/>
    <mergeCell ref="B47:C47"/>
    <mergeCell ref="B64:C64"/>
    <mergeCell ref="B65:C65"/>
    <mergeCell ref="B62:C62"/>
    <mergeCell ref="B63:C63"/>
    <mergeCell ref="B60:C60"/>
    <mergeCell ref="B61:C61"/>
    <mergeCell ref="B58:C58"/>
    <mergeCell ref="B59:C59"/>
    <mergeCell ref="B56:C56"/>
    <mergeCell ref="B57:C57"/>
    <mergeCell ref="B74:C74"/>
    <mergeCell ref="B75:C75"/>
    <mergeCell ref="B72:C72"/>
    <mergeCell ref="B73:C73"/>
    <mergeCell ref="B70:C70"/>
    <mergeCell ref="B71:C71"/>
    <mergeCell ref="B68:C68"/>
    <mergeCell ref="B69:C69"/>
    <mergeCell ref="B66:C66"/>
    <mergeCell ref="B67:C67"/>
    <mergeCell ref="B85:C85"/>
    <mergeCell ref="B82:C82"/>
    <mergeCell ref="B83:C83"/>
    <mergeCell ref="B80:C80"/>
    <mergeCell ref="B81:C81"/>
    <mergeCell ref="B78:C78"/>
    <mergeCell ref="B79:C79"/>
    <mergeCell ref="B76:C76"/>
    <mergeCell ref="B77:C77"/>
    <mergeCell ref="B100:C100"/>
    <mergeCell ref="G19:H20"/>
    <mergeCell ref="F19:F20"/>
    <mergeCell ref="G22:H22"/>
    <mergeCell ref="G23:H23"/>
    <mergeCell ref="B98:C98"/>
    <mergeCell ref="B99:C99"/>
    <mergeCell ref="B96:C96"/>
    <mergeCell ref="B97:C97"/>
    <mergeCell ref="B94:C94"/>
    <mergeCell ref="B95:C95"/>
    <mergeCell ref="B92:C92"/>
    <mergeCell ref="B93:C93"/>
    <mergeCell ref="B90:C90"/>
    <mergeCell ref="B91:C91"/>
    <mergeCell ref="B88:C88"/>
    <mergeCell ref="B89:C89"/>
    <mergeCell ref="B86:C86"/>
    <mergeCell ref="G36:H36"/>
    <mergeCell ref="G37:H37"/>
    <mergeCell ref="G38:H38"/>
    <mergeCell ref="G39:H39"/>
    <mergeCell ref="B87:C87"/>
    <mergeCell ref="B84:C84"/>
    <mergeCell ref="G41:H41"/>
    <mergeCell ref="G30:H30"/>
    <mergeCell ref="G31:H31"/>
    <mergeCell ref="G32:H32"/>
    <mergeCell ref="G33:H33"/>
    <mergeCell ref="G34:H34"/>
    <mergeCell ref="G35:H35"/>
    <mergeCell ref="G60:H60"/>
    <mergeCell ref="G28:H28"/>
    <mergeCell ref="G29:H29"/>
    <mergeCell ref="K19:K20"/>
    <mergeCell ref="G21:H21"/>
    <mergeCell ref="I19:I20"/>
    <mergeCell ref="G61:H61"/>
    <mergeCell ref="G62:H62"/>
    <mergeCell ref="G54:H54"/>
    <mergeCell ref="G55:H55"/>
    <mergeCell ref="G56:H56"/>
    <mergeCell ref="G57:H57"/>
    <mergeCell ref="G58:H58"/>
    <mergeCell ref="G59:H59"/>
    <mergeCell ref="G48:H48"/>
    <mergeCell ref="G49:H49"/>
    <mergeCell ref="G50:H50"/>
    <mergeCell ref="G51:H51"/>
    <mergeCell ref="G52:H52"/>
    <mergeCell ref="G53:H53"/>
    <mergeCell ref="G42:H42"/>
    <mergeCell ref="G43:H43"/>
    <mergeCell ref="G44:H44"/>
    <mergeCell ref="G45:H45"/>
    <mergeCell ref="G46:H46"/>
    <mergeCell ref="G47:H47"/>
    <mergeCell ref="G40:H40"/>
    <mergeCell ref="G69:H69"/>
    <mergeCell ref="G70:H70"/>
    <mergeCell ref="G71:H71"/>
    <mergeCell ref="G72:H72"/>
    <mergeCell ref="G73:H73"/>
    <mergeCell ref="G74:H74"/>
    <mergeCell ref="G63:H63"/>
    <mergeCell ref="G64:H64"/>
    <mergeCell ref="G65:H65"/>
    <mergeCell ref="G66:H66"/>
    <mergeCell ref="G67:H67"/>
    <mergeCell ref="G68:H68"/>
    <mergeCell ref="G81:H81"/>
    <mergeCell ref="G82:H82"/>
    <mergeCell ref="G83:H83"/>
    <mergeCell ref="G84:H84"/>
    <mergeCell ref="G85:H85"/>
    <mergeCell ref="G86:H86"/>
    <mergeCell ref="G75:H75"/>
    <mergeCell ref="G76:H76"/>
    <mergeCell ref="G77:H77"/>
    <mergeCell ref="G78:H78"/>
    <mergeCell ref="G79:H79"/>
    <mergeCell ref="G80:H80"/>
    <mergeCell ref="G99:H99"/>
    <mergeCell ref="G100:H100"/>
    <mergeCell ref="G93:H93"/>
    <mergeCell ref="G94:H94"/>
    <mergeCell ref="G95:H95"/>
    <mergeCell ref="G96:H96"/>
    <mergeCell ref="G97:H97"/>
    <mergeCell ref="G98:H98"/>
    <mergeCell ref="G87:H87"/>
    <mergeCell ref="G88:H88"/>
    <mergeCell ref="G89:H89"/>
    <mergeCell ref="G90:H90"/>
    <mergeCell ref="G91:H91"/>
    <mergeCell ref="G92:H92"/>
  </mergeCells>
  <conditionalFormatting sqref="F1 D3 D5 C7 C9 B11 J11 C13 J13 C15 I15">
    <cfRule type="containsBlanks" dxfId="8" priority="6">
      <formula>LEN(TRIM(B1))=0</formula>
    </cfRule>
  </conditionalFormatting>
  <pageMargins left="0.7" right="0.7" top="1.5" bottom="0.75" header="0.3" footer="0.3"/>
  <pageSetup paperSize="9" scale="90" fitToHeight="0" orientation="portrait" r:id="rId1"/>
  <headerFooter>
    <oddHeader xml:space="preserve">&amp;C&amp;G&amp;R
</oddHeader>
    <oddFooter>&amp;Cטופס 014 מהדורה 01</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59A7E-F2B9-4FE3-9CF5-C6FA438B94F6}">
  <sheetPr codeName="גיליון12" filterMode="1">
    <pageSetUpPr fitToPage="1"/>
  </sheetPr>
  <dimension ref="A1:BH99"/>
  <sheetViews>
    <sheetView rightToLeft="1" view="pageLayout" zoomScale="90" zoomScaleNormal="100" zoomScalePageLayoutView="90" workbookViewId="0">
      <selection activeCell="C9" sqref="C9:K9"/>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198" t="s">
        <v>380</v>
      </c>
      <c r="B1" s="199"/>
      <c r="C1" s="199"/>
      <c r="D1" s="199"/>
      <c r="E1" s="200"/>
      <c r="F1" s="171"/>
      <c r="G1" s="172"/>
      <c r="H1" s="172"/>
      <c r="I1" s="171"/>
      <c r="J1" s="172"/>
      <c r="K1" s="238"/>
      <c r="M1" s="239" t="s">
        <v>338</v>
      </c>
      <c r="N1" s="240"/>
      <c r="O1" s="241"/>
    </row>
    <row r="2" spans="1:15" ht="4.5" customHeight="1" thickBot="1" x14ac:dyDescent="0.25">
      <c r="M2" s="242"/>
      <c r="N2" s="243"/>
      <c r="O2" s="244"/>
    </row>
    <row r="3" spans="1:15" ht="15.75" customHeight="1" thickBot="1" x14ac:dyDescent="0.3">
      <c r="A3" s="181" t="s">
        <v>0</v>
      </c>
      <c r="B3" s="182"/>
      <c r="C3" s="182"/>
      <c r="D3" s="181">
        <f>מבקר!G18</f>
        <v>0</v>
      </c>
      <c r="E3" s="182"/>
      <c r="F3" s="182"/>
      <c r="G3" s="182"/>
      <c r="H3" s="182"/>
      <c r="I3" s="182"/>
      <c r="J3" s="182"/>
      <c r="K3" s="183"/>
      <c r="M3" s="245"/>
      <c r="N3" s="246"/>
      <c r="O3" s="247"/>
    </row>
    <row r="4" spans="1:15" ht="3.75" customHeight="1" thickBot="1" x14ac:dyDescent="0.65">
      <c r="M4" s="140"/>
      <c r="N4" s="141"/>
      <c r="O4" s="142"/>
    </row>
    <row r="5" spans="1:15" ht="15.75" customHeight="1" thickBot="1" x14ac:dyDescent="0.3">
      <c r="A5" s="181" t="s">
        <v>1</v>
      </c>
      <c r="B5" s="182"/>
      <c r="C5" s="182"/>
      <c r="D5" s="181">
        <f>מבקר!G19</f>
        <v>0</v>
      </c>
      <c r="E5" s="182"/>
      <c r="F5" s="182"/>
      <c r="G5" s="182"/>
      <c r="H5" s="182"/>
      <c r="I5" s="182"/>
      <c r="J5" s="182"/>
      <c r="K5" s="183"/>
      <c r="M5" s="257" t="s">
        <v>381</v>
      </c>
      <c r="N5" s="258"/>
      <c r="O5" s="259"/>
    </row>
    <row r="6" spans="1:15" ht="3.75" customHeight="1" thickBot="1" x14ac:dyDescent="0.25">
      <c r="M6" s="260"/>
      <c r="N6" s="261"/>
      <c r="O6" s="262"/>
    </row>
    <row r="7" spans="1:15" ht="15.75" customHeight="1" thickBot="1" x14ac:dyDescent="0.3">
      <c r="A7" s="181" t="s">
        <v>2</v>
      </c>
      <c r="B7" s="183"/>
      <c r="C7" s="81">
        <f>מבקר!G20</f>
        <v>0</v>
      </c>
      <c r="D7" s="9"/>
      <c r="E7" s="181"/>
      <c r="F7" s="182"/>
      <c r="G7" s="182"/>
      <c r="H7" s="182"/>
      <c r="I7" s="182"/>
      <c r="J7" s="182"/>
      <c r="K7" s="183"/>
      <c r="M7" s="260"/>
      <c r="N7" s="261"/>
      <c r="O7" s="262"/>
    </row>
    <row r="8" spans="1:15" ht="3" customHeight="1" thickBot="1" x14ac:dyDescent="0.25">
      <c r="M8" s="248"/>
      <c r="N8" s="249"/>
      <c r="O8" s="250"/>
    </row>
    <row r="9" spans="1:15" ht="14.45" customHeight="1" thickBot="1" x14ac:dyDescent="0.3">
      <c r="A9" s="182" t="s">
        <v>3</v>
      </c>
      <c r="B9" s="182"/>
      <c r="C9" s="181">
        <f>מבקר!G6</f>
        <v>0</v>
      </c>
      <c r="D9" s="182"/>
      <c r="E9" s="182"/>
      <c r="F9" s="182"/>
      <c r="G9" s="182"/>
      <c r="H9" s="182"/>
      <c r="I9" s="182"/>
      <c r="J9" s="182"/>
      <c r="K9" s="183"/>
      <c r="M9" s="251"/>
      <c r="N9" s="252"/>
      <c r="O9" s="253"/>
    </row>
    <row r="10" spans="1:15" ht="3" customHeight="1" thickBot="1" x14ac:dyDescent="0.65">
      <c r="M10" s="140"/>
      <c r="N10" s="141"/>
      <c r="O10" s="141"/>
    </row>
    <row r="11" spans="1:15" ht="14.45" customHeight="1" thickBot="1" x14ac:dyDescent="0.3">
      <c r="A11" s="11" t="s">
        <v>4</v>
      </c>
      <c r="B11" s="188">
        <f>מבקר!G4</f>
        <v>0</v>
      </c>
      <c r="C11" s="189"/>
      <c r="D11" s="189"/>
      <c r="E11" s="221"/>
      <c r="G11" s="181" t="s">
        <v>6</v>
      </c>
      <c r="H11" s="182"/>
      <c r="I11" s="182"/>
      <c r="J11" s="188">
        <f>'דוח ביקורת'!J11</f>
        <v>0</v>
      </c>
      <c r="K11" s="221"/>
      <c r="M11" s="254" t="s">
        <v>387</v>
      </c>
      <c r="N11" s="255"/>
      <c r="O11" s="256"/>
    </row>
    <row r="12" spans="1:15" ht="3" customHeight="1" thickBot="1" x14ac:dyDescent="0.25">
      <c r="J12" s="10"/>
      <c r="M12" s="263" t="s">
        <v>388</v>
      </c>
      <c r="N12" s="265"/>
      <c r="O12" s="263" t="s">
        <v>389</v>
      </c>
    </row>
    <row r="13" spans="1:15" ht="14.45" customHeight="1" thickBot="1" x14ac:dyDescent="0.3">
      <c r="A13" s="181" t="s">
        <v>5</v>
      </c>
      <c r="B13" s="183"/>
      <c r="C13" s="181">
        <f>מבקר!G12</f>
        <v>0</v>
      </c>
      <c r="D13" s="182"/>
      <c r="E13" s="183"/>
      <c r="G13" s="181" t="s">
        <v>7</v>
      </c>
      <c r="H13" s="182"/>
      <c r="I13" s="182"/>
      <c r="J13" s="188">
        <f>מבקר!G14</f>
        <v>0</v>
      </c>
      <c r="K13" s="221"/>
      <c r="M13" s="264"/>
      <c r="N13" s="265"/>
      <c r="O13" s="264"/>
    </row>
    <row r="14" spans="1:15" ht="3" customHeight="1" thickBot="1" x14ac:dyDescent="0.25">
      <c r="M14" s="264"/>
      <c r="N14" s="265"/>
      <c r="O14" s="264"/>
    </row>
    <row r="15" spans="1:15" ht="15.75" thickBot="1" x14ac:dyDescent="0.3">
      <c r="A15" s="181" t="s">
        <v>25</v>
      </c>
      <c r="B15" s="183"/>
      <c r="C15" s="178">
        <f>מבקר!G22</f>
        <v>0</v>
      </c>
      <c r="D15" s="180"/>
      <c r="F15" s="181" t="s">
        <v>26</v>
      </c>
      <c r="G15" s="182"/>
      <c r="H15" s="182"/>
      <c r="I15" s="178">
        <f>מבקר!G23</f>
        <v>0</v>
      </c>
      <c r="J15" s="179"/>
      <c r="K15" s="180"/>
      <c r="M15" s="143">
        <v>5</v>
      </c>
      <c r="N15" s="265"/>
      <c r="O15" s="143">
        <v>10</v>
      </c>
    </row>
    <row r="16" spans="1:15" ht="3" customHeight="1" thickBot="1" x14ac:dyDescent="0.3">
      <c r="A16" s="122"/>
      <c r="B16" s="122"/>
      <c r="C16" s="122"/>
      <c r="D16" s="122"/>
      <c r="M16" s="37"/>
    </row>
    <row r="17" spans="1:60" ht="15.75" thickBot="1" x14ac:dyDescent="0.3">
      <c r="A17" s="181" t="s">
        <v>94</v>
      </c>
      <c r="B17" s="183"/>
      <c r="C17" s="179"/>
      <c r="D17" s="179"/>
      <c r="E17" s="181" t="s">
        <v>96</v>
      </c>
      <c r="F17" s="183"/>
      <c r="G17" s="223">
        <f ca="1">TODAY()</f>
        <v>46149</v>
      </c>
      <c r="H17" s="224"/>
      <c r="I17" s="133" t="s">
        <v>95</v>
      </c>
      <c r="J17" s="178"/>
      <c r="K17" s="180"/>
    </row>
    <row r="18" spans="1:60" ht="15" thickBot="1" x14ac:dyDescent="0.25"/>
    <row r="19" spans="1:60" s="33" customFormat="1" ht="28.5" customHeight="1" thickBot="1" x14ac:dyDescent="0.25">
      <c r="A19" s="137" t="s">
        <v>27</v>
      </c>
      <c r="B19" s="271" t="s">
        <v>28</v>
      </c>
      <c r="C19" s="272"/>
      <c r="D19" s="138" t="s">
        <v>29</v>
      </c>
      <c r="E19" s="139" t="s">
        <v>30</v>
      </c>
      <c r="F19" s="190" t="s">
        <v>34</v>
      </c>
      <c r="G19" s="191"/>
      <c r="H19" s="194" t="s">
        <v>31</v>
      </c>
      <c r="I19" s="229"/>
      <c r="J19" s="4" t="s">
        <v>384</v>
      </c>
      <c r="K19" s="4" t="s">
        <v>385</v>
      </c>
      <c r="L19" s="4" t="s">
        <v>386</v>
      </c>
      <c r="M19" s="4" t="s">
        <v>390</v>
      </c>
      <c r="N19" s="4" t="s">
        <v>391</v>
      </c>
      <c r="O19" s="4" t="s">
        <v>392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4"/>
      <c r="B20" s="119"/>
      <c r="C20" s="120"/>
      <c r="D20" s="26"/>
      <c r="E20" s="27"/>
      <c r="F20" s="28"/>
      <c r="G20" s="29"/>
      <c r="H20" s="30"/>
      <c r="I20" s="26"/>
      <c r="J20" s="144"/>
      <c r="K20" s="4"/>
      <c r="L20" s="4"/>
      <c r="M20" s="4"/>
      <c r="N20" s="4"/>
      <c r="O20" s="4"/>
      <c r="P20" s="4"/>
      <c r="Q20" s="4"/>
      <c r="R20" s="4"/>
      <c r="S20" s="4"/>
      <c r="T20" s="4"/>
      <c r="U20" s="4"/>
      <c r="V20" s="4"/>
      <c r="W20" s="4"/>
      <c r="X20" s="4"/>
    </row>
    <row r="21" spans="1:60" x14ac:dyDescent="0.2">
      <c r="A21" s="135"/>
      <c r="B21" s="266" t="e">
        <f>VLOOKUP(A21,'דוח ביקורת'!$A$23:$I$101,2,FALSE)</f>
        <v>#N/A</v>
      </c>
      <c r="C21" s="267"/>
      <c r="D21" s="134" t="e">
        <f>VLOOKUP(A21,'דוח ביקורת'!$A$23:$I$101,4,FALSE)</f>
        <v>#N/A</v>
      </c>
      <c r="E21" s="134" t="e">
        <f>VLOOKUP(A21,'דוח ביקורת'!$A$23:$I$101,5,FALSE)</f>
        <v>#N/A</v>
      </c>
      <c r="F21" s="268" t="e">
        <f>VLOOKUP(A21,'דוח ביקורת'!$A$23:$I$101,6,FALSE)</f>
        <v>#N/A</v>
      </c>
      <c r="G21" s="269"/>
      <c r="H21" s="268" t="e">
        <f>VLOOKUP(A21,'דוח ביקורת'!$A$23:$I$101,8,FALSE)</f>
        <v>#N/A</v>
      </c>
      <c r="I21" s="270"/>
      <c r="J21" s="4"/>
      <c r="K21" s="4"/>
      <c r="L21" s="4"/>
      <c r="M21" s="4"/>
      <c r="N21" s="4"/>
      <c r="O21" s="4"/>
    </row>
    <row r="22" spans="1:60" x14ac:dyDescent="0.2">
      <c r="A22" s="135"/>
      <c r="B22" s="266" t="e">
        <f>VLOOKUP(A22,'דוח ביקורת'!$A$23:$I$101,2,FALSE)</f>
        <v>#N/A</v>
      </c>
      <c r="C22" s="267"/>
      <c r="D22" s="134" t="e">
        <f>VLOOKUP(A22,'דוח ביקורת'!$A$23:$I$101,4,FALSE)</f>
        <v>#N/A</v>
      </c>
      <c r="E22" s="134" t="e">
        <f>VLOOKUP(A22,'דוח ביקורת'!$A$23:$I$101,5,FALSE)</f>
        <v>#N/A</v>
      </c>
      <c r="F22" s="268" t="e">
        <f>VLOOKUP(A22,'דוח ביקורת'!$A$23:$I$101,6,FALSE)</f>
        <v>#N/A</v>
      </c>
      <c r="G22" s="269"/>
      <c r="H22" s="268" t="e">
        <f>VLOOKUP(A22,'דוח ביקורת'!$A$23:$I$101,8,FALSE)</f>
        <v>#N/A</v>
      </c>
      <c r="I22" s="270"/>
      <c r="J22" s="4"/>
      <c r="K22" s="4"/>
      <c r="L22" s="4"/>
      <c r="M22" s="4"/>
      <c r="N22" s="4"/>
      <c r="O22" s="4"/>
    </row>
    <row r="23" spans="1:60" x14ac:dyDescent="0.2">
      <c r="A23" s="135"/>
      <c r="B23" s="266" t="e">
        <f>VLOOKUP(A23,'דוח ביקורת'!$A$23:$I$101,2,FALSE)</f>
        <v>#N/A</v>
      </c>
      <c r="C23" s="267"/>
      <c r="D23" s="134" t="e">
        <f>VLOOKUP(A23,'דוח ביקורת'!$A$23:$I$101,4,FALSE)</f>
        <v>#N/A</v>
      </c>
      <c r="E23" s="134" t="e">
        <f>VLOOKUP(A23,'דוח ביקורת'!$A$23:$I$101,5,FALSE)</f>
        <v>#N/A</v>
      </c>
      <c r="F23" s="268" t="e">
        <f>VLOOKUP(A23,'דוח ביקורת'!$A$23:$I$101,6,FALSE)</f>
        <v>#N/A</v>
      </c>
      <c r="G23" s="269"/>
      <c r="H23" s="268" t="e">
        <f>VLOOKUP(A23,'דוח ביקורת'!$A$23:$I$101,8,FALSE)</f>
        <v>#N/A</v>
      </c>
      <c r="I23" s="270"/>
      <c r="J23" s="4"/>
      <c r="K23" s="4"/>
      <c r="L23" s="4"/>
      <c r="M23" s="4"/>
      <c r="N23" s="4"/>
      <c r="O23" s="4"/>
    </row>
    <row r="24" spans="1:60" x14ac:dyDescent="0.2">
      <c r="A24" s="135"/>
      <c r="B24" s="266" t="e">
        <f>VLOOKUP(A24,'דוח ביקורת'!$A$23:$I$101,2,FALSE)</f>
        <v>#N/A</v>
      </c>
      <c r="C24" s="267"/>
      <c r="D24" s="134" t="e">
        <f>VLOOKUP(A24,'דוח ביקורת'!$A$23:$I$101,4,FALSE)</f>
        <v>#N/A</v>
      </c>
      <c r="E24" s="134" t="e">
        <f>VLOOKUP(A24,'דוח ביקורת'!$A$23:$I$101,5,FALSE)</f>
        <v>#N/A</v>
      </c>
      <c r="F24" s="268" t="e">
        <f>VLOOKUP(A24,'דוח ביקורת'!$A$23:$I$101,6,FALSE)</f>
        <v>#N/A</v>
      </c>
      <c r="G24" s="269"/>
      <c r="H24" s="268" t="e">
        <f>VLOOKUP(A24,'דוח ביקורת'!$A$23:$I$101,8,FALSE)</f>
        <v>#N/A</v>
      </c>
      <c r="I24" s="270"/>
      <c r="J24" s="4"/>
      <c r="K24" s="4"/>
      <c r="L24" s="4"/>
      <c r="M24" s="4"/>
      <c r="N24" s="4"/>
      <c r="O24" s="4"/>
    </row>
    <row r="25" spans="1:60" x14ac:dyDescent="0.2">
      <c r="A25" s="135"/>
      <c r="B25" s="266" t="e">
        <f>VLOOKUP(A25,'דוח ביקורת'!$A$23:$I$101,2,FALSE)</f>
        <v>#N/A</v>
      </c>
      <c r="C25" s="267"/>
      <c r="D25" s="134" t="e">
        <f>VLOOKUP(A25,'דוח ביקורת'!$A$23:$I$101,4,FALSE)</f>
        <v>#N/A</v>
      </c>
      <c r="E25" s="134" t="e">
        <f>VLOOKUP(A25,'דוח ביקורת'!$A$23:$I$101,5,FALSE)</f>
        <v>#N/A</v>
      </c>
      <c r="F25" s="268" t="e">
        <f>VLOOKUP(A25,'דוח ביקורת'!$A$23:$I$101,6,FALSE)</f>
        <v>#N/A</v>
      </c>
      <c r="G25" s="269"/>
      <c r="H25" s="268" t="e">
        <f>VLOOKUP(A25,'דוח ביקורת'!$A$23:$I$101,8,FALSE)</f>
        <v>#N/A</v>
      </c>
      <c r="I25" s="270"/>
      <c r="J25" s="4"/>
      <c r="K25" s="4"/>
      <c r="L25" s="4"/>
      <c r="M25" s="4"/>
      <c r="N25" s="4"/>
      <c r="O25" s="4"/>
    </row>
    <row r="26" spans="1:60" x14ac:dyDescent="0.2">
      <c r="A26" s="136"/>
      <c r="B26" s="266" t="e">
        <f>VLOOKUP(A26,'דוח ביקורת'!$A$23:$I$101,2,FALSE)</f>
        <v>#N/A</v>
      </c>
      <c r="C26" s="267"/>
      <c r="D26" s="134" t="e">
        <f>VLOOKUP(A26,'דוח ביקורת'!$A$23:$I$101,4,FALSE)</f>
        <v>#N/A</v>
      </c>
      <c r="E26" s="134" t="e">
        <f>VLOOKUP(A26,'דוח ביקורת'!$A$23:$I$101,5,FALSE)</f>
        <v>#N/A</v>
      </c>
      <c r="F26" s="268" t="e">
        <f>VLOOKUP(A26,'דוח ביקורת'!$A$23:$I$101,6,FALSE)</f>
        <v>#N/A</v>
      </c>
      <c r="G26" s="269"/>
      <c r="H26" s="268" t="e">
        <f>VLOOKUP(A26,'דוח ביקורת'!$A$23:$I$101,8,FALSE)</f>
        <v>#N/A</v>
      </c>
      <c r="I26" s="270"/>
      <c r="J26" s="4"/>
      <c r="K26" s="4"/>
      <c r="L26" s="4"/>
      <c r="M26" s="4"/>
      <c r="N26" s="4"/>
      <c r="O26" s="4"/>
    </row>
    <row r="27" spans="1:60" x14ac:dyDescent="0.2">
      <c r="A27" s="135"/>
      <c r="B27" s="266" t="e">
        <f>VLOOKUP(A27,'דוח ביקורת'!$A$23:$I$101,2,FALSE)</f>
        <v>#N/A</v>
      </c>
      <c r="C27" s="267"/>
      <c r="D27" s="134" t="e">
        <f>VLOOKUP(A27,'דוח ביקורת'!$A$23:$I$101,4,FALSE)</f>
        <v>#N/A</v>
      </c>
      <c r="E27" s="134" t="e">
        <f>VLOOKUP(A27,'דוח ביקורת'!$A$23:$I$101,5,FALSE)</f>
        <v>#N/A</v>
      </c>
      <c r="F27" s="268" t="e">
        <f>VLOOKUP(A27,'דוח ביקורת'!$A$23:$I$101,6,FALSE)</f>
        <v>#N/A</v>
      </c>
      <c r="G27" s="269"/>
      <c r="H27" s="268" t="e">
        <f>VLOOKUP(A27,'דוח ביקורת'!$A$23:$I$101,8,FALSE)</f>
        <v>#N/A</v>
      </c>
      <c r="I27" s="270"/>
      <c r="J27" s="4"/>
      <c r="K27" s="4"/>
      <c r="L27" s="4"/>
      <c r="M27" s="4"/>
      <c r="N27" s="4"/>
      <c r="O27" s="4"/>
    </row>
    <row r="28" spans="1:60" x14ac:dyDescent="0.2">
      <c r="A28" s="135"/>
      <c r="B28" s="266" t="e">
        <f>VLOOKUP(A28,'דוח ביקורת'!$A$23:$I$101,2,FALSE)</f>
        <v>#N/A</v>
      </c>
      <c r="C28" s="267"/>
      <c r="D28" s="134" t="e">
        <f>VLOOKUP(A28,'דוח ביקורת'!$A$23:$I$101,4,FALSE)</f>
        <v>#N/A</v>
      </c>
      <c r="E28" s="134" t="e">
        <f>VLOOKUP(A28,'דוח ביקורת'!$A$23:$I$101,5,FALSE)</f>
        <v>#N/A</v>
      </c>
      <c r="F28" s="268" t="e">
        <f>VLOOKUP(A28,'דוח ביקורת'!$A$23:$I$101,6,FALSE)</f>
        <v>#N/A</v>
      </c>
      <c r="G28" s="269"/>
      <c r="H28" s="268" t="e">
        <f>VLOOKUP(A28,'דוח ביקורת'!$A$23:$I$101,8,FALSE)</f>
        <v>#N/A</v>
      </c>
      <c r="I28" s="270"/>
      <c r="J28" s="4"/>
      <c r="K28" s="4"/>
      <c r="L28" s="4"/>
      <c r="M28" s="4"/>
      <c r="N28" s="4"/>
      <c r="O28" s="4"/>
    </row>
    <row r="29" spans="1:60" x14ac:dyDescent="0.2">
      <c r="A29" s="135"/>
      <c r="B29" s="266" t="e">
        <f>VLOOKUP(A29,'דוח ביקורת'!$A$23:$I$101,2,FALSE)</f>
        <v>#N/A</v>
      </c>
      <c r="C29" s="267"/>
      <c r="D29" s="134" t="e">
        <f>VLOOKUP(A29,'דוח ביקורת'!$A$23:$I$101,4,FALSE)</f>
        <v>#N/A</v>
      </c>
      <c r="E29" s="134" t="e">
        <f>VLOOKUP(A29,'דוח ביקורת'!$A$23:$I$101,5,FALSE)</f>
        <v>#N/A</v>
      </c>
      <c r="F29" s="268" t="e">
        <f>VLOOKUP(A29,'דוח ביקורת'!$A$23:$I$101,6,FALSE)</f>
        <v>#N/A</v>
      </c>
      <c r="G29" s="269"/>
      <c r="H29" s="268" t="e">
        <f>VLOOKUP(A29,'דוח ביקורת'!$A$23:$I$101,8,FALSE)</f>
        <v>#N/A</v>
      </c>
      <c r="I29" s="270"/>
      <c r="J29" s="4"/>
      <c r="K29" s="4"/>
      <c r="L29" s="4"/>
      <c r="M29" s="4"/>
      <c r="N29" s="4"/>
      <c r="O29" s="4"/>
    </row>
    <row r="30" spans="1:60" x14ac:dyDescent="0.2">
      <c r="A30" s="136"/>
      <c r="B30" s="266" t="e">
        <f>VLOOKUP(A30,'דוח ביקורת'!$A$23:$I$101,2,FALSE)</f>
        <v>#N/A</v>
      </c>
      <c r="C30" s="267"/>
      <c r="D30" s="134" t="e">
        <f>VLOOKUP(A30,'דוח ביקורת'!$A$23:$I$101,4,FALSE)</f>
        <v>#N/A</v>
      </c>
      <c r="E30" s="134" t="e">
        <f>VLOOKUP(A30,'דוח ביקורת'!$A$23:$I$101,5,FALSE)</f>
        <v>#N/A</v>
      </c>
      <c r="F30" s="268" t="e">
        <f>VLOOKUP(A30,'דוח ביקורת'!$A$23:$I$101,6,FALSE)</f>
        <v>#N/A</v>
      </c>
      <c r="G30" s="269"/>
      <c r="H30" s="268" t="e">
        <f>VLOOKUP(A30,'דוח ביקורת'!$A$23:$I$101,8,FALSE)</f>
        <v>#N/A</v>
      </c>
      <c r="I30" s="270"/>
      <c r="J30" s="4"/>
      <c r="K30" s="4"/>
      <c r="L30" s="4"/>
      <c r="M30" s="4"/>
      <c r="N30" s="4"/>
      <c r="O30" s="4"/>
    </row>
    <row r="31" spans="1:60" x14ac:dyDescent="0.2">
      <c r="A31" s="135"/>
      <c r="B31" s="266" t="e">
        <f>VLOOKUP(A31,'דוח ביקורת'!$A$23:$I$101,2,FALSE)</f>
        <v>#N/A</v>
      </c>
      <c r="C31" s="267"/>
      <c r="D31" s="134" t="e">
        <f>VLOOKUP(A31,'דוח ביקורת'!$A$23:$I$101,4,FALSE)</f>
        <v>#N/A</v>
      </c>
      <c r="E31" s="134" t="e">
        <f>VLOOKUP(A31,'דוח ביקורת'!$A$23:$I$101,5,FALSE)</f>
        <v>#N/A</v>
      </c>
      <c r="F31" s="268" t="e">
        <f>VLOOKUP(A31,'דוח ביקורת'!$A$23:$I$101,6,FALSE)</f>
        <v>#N/A</v>
      </c>
      <c r="G31" s="269"/>
      <c r="H31" s="268" t="e">
        <f>VLOOKUP(A31,'דוח ביקורת'!$A$23:$I$101,8,FALSE)</f>
        <v>#N/A</v>
      </c>
      <c r="I31" s="270"/>
      <c r="J31" s="4"/>
      <c r="K31" s="4"/>
      <c r="L31" s="4"/>
      <c r="M31" s="4"/>
      <c r="N31" s="4"/>
      <c r="O31" s="4"/>
    </row>
    <row r="32" spans="1:60" x14ac:dyDescent="0.2">
      <c r="A32" s="135"/>
      <c r="B32" s="266" t="e">
        <f>VLOOKUP(A32,'דוח ביקורת'!$A$23:$I$101,2,FALSE)</f>
        <v>#N/A</v>
      </c>
      <c r="C32" s="267"/>
      <c r="D32" s="134" t="e">
        <f>VLOOKUP(A32,'דוח ביקורת'!$A$23:$I$101,4,FALSE)</f>
        <v>#N/A</v>
      </c>
      <c r="E32" s="134" t="e">
        <f>VLOOKUP(A32,'דוח ביקורת'!$A$23:$I$101,5,FALSE)</f>
        <v>#N/A</v>
      </c>
      <c r="F32" s="268" t="e">
        <f>VLOOKUP(A32,'דוח ביקורת'!$A$23:$I$101,6,FALSE)</f>
        <v>#N/A</v>
      </c>
      <c r="G32" s="269"/>
      <c r="H32" s="268" t="e">
        <f>VLOOKUP(A32,'דוח ביקורת'!$A$23:$I$101,8,FALSE)</f>
        <v>#N/A</v>
      </c>
      <c r="I32" s="270"/>
      <c r="J32" s="4"/>
      <c r="K32" s="4"/>
      <c r="L32" s="4"/>
      <c r="M32" s="4"/>
      <c r="N32" s="4"/>
      <c r="O32" s="4"/>
    </row>
    <row r="33" spans="1:15" x14ac:dyDescent="0.2">
      <c r="A33" s="136"/>
      <c r="B33" s="266" t="e">
        <f>VLOOKUP(A33,'דוח ביקורת'!$A$23:$I$101,2,FALSE)</f>
        <v>#N/A</v>
      </c>
      <c r="C33" s="267"/>
      <c r="D33" s="134" t="e">
        <f>VLOOKUP(A33,'דוח ביקורת'!$A$23:$I$101,4,FALSE)</f>
        <v>#N/A</v>
      </c>
      <c r="E33" s="134" t="e">
        <f>VLOOKUP(A33,'דוח ביקורת'!$A$23:$I$101,5,FALSE)</f>
        <v>#N/A</v>
      </c>
      <c r="F33" s="268" t="e">
        <f>VLOOKUP(A33,'דוח ביקורת'!$A$23:$I$101,6,FALSE)</f>
        <v>#N/A</v>
      </c>
      <c r="G33" s="269"/>
      <c r="H33" s="268" t="e">
        <f>VLOOKUP(A33,'דוח ביקורת'!$A$23:$I$101,8,FALSE)</f>
        <v>#N/A</v>
      </c>
      <c r="I33" s="270"/>
      <c r="J33" s="4"/>
      <c r="K33" s="4"/>
      <c r="L33" s="4"/>
      <c r="M33" s="4"/>
      <c r="N33" s="4"/>
      <c r="O33" s="4"/>
    </row>
    <row r="34" spans="1:15" x14ac:dyDescent="0.2">
      <c r="A34" s="136"/>
      <c r="B34" s="266" t="e">
        <f>VLOOKUP(A34,'דוח ביקורת'!$A$23:$I$101,2,FALSE)</f>
        <v>#N/A</v>
      </c>
      <c r="C34" s="267"/>
      <c r="D34" s="134" t="e">
        <f>VLOOKUP(A34,'דוח ביקורת'!$A$23:$I$101,4,FALSE)</f>
        <v>#N/A</v>
      </c>
      <c r="E34" s="134" t="e">
        <f>VLOOKUP(A34,'דוח ביקורת'!$A$23:$I$101,5,FALSE)</f>
        <v>#N/A</v>
      </c>
      <c r="F34" s="268" t="e">
        <f>VLOOKUP(A34,'דוח ביקורת'!$A$23:$I$101,6,FALSE)</f>
        <v>#N/A</v>
      </c>
      <c r="G34" s="269"/>
      <c r="H34" s="268" t="e">
        <f>VLOOKUP(A34,'דוח ביקורת'!$A$23:$I$101,8,FALSE)</f>
        <v>#N/A</v>
      </c>
      <c r="I34" s="270"/>
      <c r="J34" s="4"/>
      <c r="K34" s="4"/>
      <c r="L34" s="4"/>
      <c r="M34" s="4"/>
      <c r="N34" s="4"/>
      <c r="O34" s="4"/>
    </row>
    <row r="35" spans="1:15" x14ac:dyDescent="0.2">
      <c r="A35" s="136"/>
      <c r="B35" s="266" t="e">
        <f>VLOOKUP(A35,'דוח ביקורת'!$A$23:$I$101,2,FALSE)</f>
        <v>#N/A</v>
      </c>
      <c r="C35" s="267"/>
      <c r="D35" s="134" t="e">
        <f>VLOOKUP(A35,'דוח ביקורת'!$A$23:$I$101,4,FALSE)</f>
        <v>#N/A</v>
      </c>
      <c r="E35" s="134" t="e">
        <f>VLOOKUP(A35,'דוח ביקורת'!$A$23:$I$101,5,FALSE)</f>
        <v>#N/A</v>
      </c>
      <c r="F35" s="268" t="e">
        <f>VLOOKUP(A35,'דוח ביקורת'!$A$23:$I$101,6,FALSE)</f>
        <v>#N/A</v>
      </c>
      <c r="G35" s="269"/>
      <c r="H35" s="268" t="e">
        <f>VLOOKUP(A35,'דוח ביקורת'!$A$23:$I$101,8,FALSE)</f>
        <v>#N/A</v>
      </c>
      <c r="I35" s="270"/>
      <c r="J35" s="4"/>
      <c r="K35" s="4"/>
      <c r="L35" s="4"/>
      <c r="M35" s="4"/>
      <c r="N35" s="4"/>
      <c r="O35" s="4"/>
    </row>
    <row r="36" spans="1:15" x14ac:dyDescent="0.2">
      <c r="A36" s="136"/>
      <c r="B36" s="266" t="e">
        <f>VLOOKUP(A36,'דוח ביקורת'!$A$23:$I$101,2,FALSE)</f>
        <v>#N/A</v>
      </c>
      <c r="C36" s="267"/>
      <c r="D36" s="134" t="e">
        <f>VLOOKUP(A36,'דוח ביקורת'!$A$23:$I$101,4,FALSE)</f>
        <v>#N/A</v>
      </c>
      <c r="E36" s="134" t="e">
        <f>VLOOKUP(A36,'דוח ביקורת'!$A$23:$I$101,5,FALSE)</f>
        <v>#N/A</v>
      </c>
      <c r="F36" s="268" t="e">
        <f>VLOOKUP(A36,'דוח ביקורת'!$A$23:$I$101,6,FALSE)</f>
        <v>#N/A</v>
      </c>
      <c r="G36" s="269"/>
      <c r="H36" s="268" t="e">
        <f>VLOOKUP(A36,'דוח ביקורת'!$A$23:$I$101,8,FALSE)</f>
        <v>#N/A</v>
      </c>
      <c r="I36" s="270"/>
      <c r="J36" s="4"/>
      <c r="K36" s="4"/>
      <c r="L36" s="4"/>
      <c r="M36" s="4"/>
      <c r="N36" s="4"/>
      <c r="O36" s="4"/>
    </row>
    <row r="37" spans="1:15" x14ac:dyDescent="0.2">
      <c r="A37" s="136"/>
      <c r="B37" s="266" t="e">
        <f>VLOOKUP(A37,'דוח ביקורת'!$A$23:$I$101,2,FALSE)</f>
        <v>#N/A</v>
      </c>
      <c r="C37" s="267"/>
      <c r="D37" s="134" t="e">
        <f>VLOOKUP(A37,'דוח ביקורת'!$A$23:$I$101,4,FALSE)</f>
        <v>#N/A</v>
      </c>
      <c r="E37" s="134" t="e">
        <f>VLOOKUP(A37,'דוח ביקורת'!$A$23:$I$101,5,FALSE)</f>
        <v>#N/A</v>
      </c>
      <c r="F37" s="268" t="e">
        <f>VLOOKUP(A37,'דוח ביקורת'!$A$23:$I$101,6,FALSE)</f>
        <v>#N/A</v>
      </c>
      <c r="G37" s="269"/>
      <c r="H37" s="268" t="e">
        <f>VLOOKUP(A37,'דוח ביקורת'!$A$23:$I$101,8,FALSE)</f>
        <v>#N/A</v>
      </c>
      <c r="I37" s="270"/>
      <c r="J37" s="4"/>
      <c r="K37" s="4"/>
      <c r="L37" s="4"/>
      <c r="M37" s="4"/>
      <c r="N37" s="4"/>
      <c r="O37" s="4"/>
    </row>
    <row r="38" spans="1:15" x14ac:dyDescent="0.2">
      <c r="A38" s="136"/>
      <c r="B38" s="266" t="e">
        <f>VLOOKUP(A38,'דוח ביקורת'!$A$23:$I$101,2,FALSE)</f>
        <v>#N/A</v>
      </c>
      <c r="C38" s="267"/>
      <c r="D38" s="134" t="e">
        <f>VLOOKUP(A38,'דוח ביקורת'!$A$23:$I$101,4,FALSE)</f>
        <v>#N/A</v>
      </c>
      <c r="E38" s="134" t="e">
        <f>VLOOKUP(A38,'דוח ביקורת'!$A$23:$I$101,5,FALSE)</f>
        <v>#N/A</v>
      </c>
      <c r="F38" s="268" t="e">
        <f>VLOOKUP(A38,'דוח ביקורת'!$A$23:$I$101,6,FALSE)</f>
        <v>#N/A</v>
      </c>
      <c r="G38" s="269"/>
      <c r="H38" s="268" t="e">
        <f>VLOOKUP(A38,'דוח ביקורת'!$A$23:$I$101,8,FALSE)</f>
        <v>#N/A</v>
      </c>
      <c r="I38" s="270"/>
      <c r="J38" s="4"/>
      <c r="K38" s="4"/>
      <c r="L38" s="4"/>
      <c r="M38" s="4"/>
      <c r="N38" s="4"/>
      <c r="O38" s="4"/>
    </row>
    <row r="39" spans="1:15" x14ac:dyDescent="0.2">
      <c r="A39" s="136"/>
      <c r="B39" s="266" t="e">
        <f>VLOOKUP(A39,'דוח ביקורת'!$A$23:$I$101,2,FALSE)</f>
        <v>#N/A</v>
      </c>
      <c r="C39" s="267"/>
      <c r="D39" s="134" t="e">
        <f>VLOOKUP(A39,'דוח ביקורת'!$A$23:$I$101,4,FALSE)</f>
        <v>#N/A</v>
      </c>
      <c r="E39" s="134" t="e">
        <f>VLOOKUP(A39,'דוח ביקורת'!$A$23:$I$101,5,FALSE)</f>
        <v>#N/A</v>
      </c>
      <c r="F39" s="268" t="e">
        <f>VLOOKUP(A39,'דוח ביקורת'!$A$23:$I$101,6,FALSE)</f>
        <v>#N/A</v>
      </c>
      <c r="G39" s="269"/>
      <c r="H39" s="268" t="e">
        <f>VLOOKUP(A39,'דוח ביקורת'!$A$23:$I$101,8,FALSE)</f>
        <v>#N/A</v>
      </c>
      <c r="I39" s="270"/>
      <c r="J39" s="4"/>
      <c r="K39" s="4"/>
      <c r="L39" s="4"/>
      <c r="M39" s="4"/>
      <c r="N39" s="4"/>
      <c r="O39" s="4"/>
    </row>
    <row r="40" spans="1:15" x14ac:dyDescent="0.2">
      <c r="A40" s="136"/>
      <c r="B40" s="266" t="e">
        <f>VLOOKUP(A40,'דוח ביקורת'!$A$23:$I$101,2,FALSE)</f>
        <v>#N/A</v>
      </c>
      <c r="C40" s="267"/>
      <c r="D40" s="134" t="e">
        <f>VLOOKUP(A40,'דוח ביקורת'!$A$23:$I$101,4,FALSE)</f>
        <v>#N/A</v>
      </c>
      <c r="E40" s="134" t="e">
        <f>VLOOKUP(A40,'דוח ביקורת'!$A$23:$I$101,5,FALSE)</f>
        <v>#N/A</v>
      </c>
      <c r="F40" s="268" t="e">
        <f>VLOOKUP(A40,'דוח ביקורת'!$A$23:$I$101,6,FALSE)</f>
        <v>#N/A</v>
      </c>
      <c r="G40" s="269"/>
      <c r="H40" s="268" t="e">
        <f>VLOOKUP(A40,'דוח ביקורת'!$A$23:$I$101,8,FALSE)</f>
        <v>#N/A</v>
      </c>
      <c r="I40" s="270"/>
      <c r="J40" s="4"/>
      <c r="K40" s="4"/>
      <c r="L40" s="4"/>
      <c r="M40" s="4"/>
      <c r="N40" s="4"/>
      <c r="O40" s="4"/>
    </row>
    <row r="41" spans="1:15" x14ac:dyDescent="0.2">
      <c r="A41" s="136"/>
      <c r="B41" s="266" t="e">
        <f>VLOOKUP(A41,'דוח ביקורת'!$A$23:$I$101,2,FALSE)</f>
        <v>#N/A</v>
      </c>
      <c r="C41" s="267"/>
      <c r="D41" s="134" t="e">
        <f>VLOOKUP(A41,'דוח ביקורת'!$A$23:$I$101,4,FALSE)</f>
        <v>#N/A</v>
      </c>
      <c r="E41" s="134" t="e">
        <f>VLOOKUP(A41,'דוח ביקורת'!$A$23:$I$101,5,FALSE)</f>
        <v>#N/A</v>
      </c>
      <c r="F41" s="268" t="e">
        <f>VLOOKUP(A41,'דוח ביקורת'!$A$23:$I$101,6,FALSE)</f>
        <v>#N/A</v>
      </c>
      <c r="G41" s="269"/>
      <c r="H41" s="268" t="e">
        <f>VLOOKUP(A41,'דוח ביקורת'!$A$23:$I$101,8,FALSE)</f>
        <v>#N/A</v>
      </c>
      <c r="I41" s="270"/>
      <c r="J41" s="4"/>
      <c r="K41" s="4"/>
      <c r="L41" s="4"/>
      <c r="M41" s="4"/>
      <c r="N41" s="4"/>
      <c r="O41" s="4"/>
    </row>
    <row r="42" spans="1:15" x14ac:dyDescent="0.2">
      <c r="A42" s="136"/>
      <c r="B42" s="266" t="e">
        <f>VLOOKUP(A42,'דוח ביקורת'!$A$23:$I$101,2,FALSE)</f>
        <v>#N/A</v>
      </c>
      <c r="C42" s="267"/>
      <c r="D42" s="134" t="e">
        <f>VLOOKUP(A42,'דוח ביקורת'!$A$23:$I$101,4,FALSE)</f>
        <v>#N/A</v>
      </c>
      <c r="E42" s="134" t="e">
        <f>VLOOKUP(A42,'דוח ביקורת'!$A$23:$I$101,5,FALSE)</f>
        <v>#N/A</v>
      </c>
      <c r="F42" s="268" t="e">
        <f>VLOOKUP(A42,'דוח ביקורת'!$A$23:$I$101,6,FALSE)</f>
        <v>#N/A</v>
      </c>
      <c r="G42" s="269"/>
      <c r="H42" s="268" t="e">
        <f>VLOOKUP(A42,'דוח ביקורת'!$A$23:$I$101,8,FALSE)</f>
        <v>#N/A</v>
      </c>
      <c r="I42" s="270"/>
      <c r="J42" s="4"/>
      <c r="K42" s="4"/>
      <c r="L42" s="4"/>
      <c r="M42" s="4"/>
      <c r="N42" s="4"/>
      <c r="O42" s="4"/>
    </row>
    <row r="43" spans="1:15" x14ac:dyDescent="0.2">
      <c r="A43" s="136"/>
      <c r="B43" s="266" t="e">
        <f>VLOOKUP(A43,'דוח ביקורת'!$A$23:$I$101,2,FALSE)</f>
        <v>#N/A</v>
      </c>
      <c r="C43" s="267"/>
      <c r="D43" s="134" t="e">
        <f>VLOOKUP(A43,'דוח ביקורת'!$A$23:$I$101,4,FALSE)</f>
        <v>#N/A</v>
      </c>
      <c r="E43" s="134" t="e">
        <f>VLOOKUP(A43,'דוח ביקורת'!$A$23:$I$101,5,FALSE)</f>
        <v>#N/A</v>
      </c>
      <c r="F43" s="268" t="e">
        <f>VLOOKUP(A43,'דוח ביקורת'!$A$23:$I$101,6,FALSE)</f>
        <v>#N/A</v>
      </c>
      <c r="G43" s="269"/>
      <c r="H43" s="268" t="e">
        <f>VLOOKUP(A43,'דוח ביקורת'!$A$23:$I$101,8,FALSE)</f>
        <v>#N/A</v>
      </c>
      <c r="I43" s="270"/>
      <c r="J43" s="4"/>
      <c r="K43" s="4"/>
      <c r="L43" s="4"/>
      <c r="M43" s="4"/>
      <c r="N43" s="4"/>
      <c r="O43" s="4"/>
    </row>
    <row r="44" spans="1:15" x14ac:dyDescent="0.2">
      <c r="A44" s="136"/>
      <c r="B44" s="266" t="e">
        <f>VLOOKUP(A44,'דוח ביקורת'!$A$23:$I$101,2,FALSE)</f>
        <v>#N/A</v>
      </c>
      <c r="C44" s="267"/>
      <c r="D44" s="134" t="e">
        <f>VLOOKUP(A44,'דוח ביקורת'!$A$23:$I$101,4,FALSE)</f>
        <v>#N/A</v>
      </c>
      <c r="E44" s="134" t="e">
        <f>VLOOKUP(A44,'דוח ביקורת'!$A$23:$I$101,5,FALSE)</f>
        <v>#N/A</v>
      </c>
      <c r="F44" s="268" t="e">
        <f>VLOOKUP(A44,'דוח ביקורת'!$A$23:$I$101,6,FALSE)</f>
        <v>#N/A</v>
      </c>
      <c r="G44" s="269"/>
      <c r="H44" s="268" t="e">
        <f>VLOOKUP(A44,'דוח ביקורת'!$A$23:$I$101,8,FALSE)</f>
        <v>#N/A</v>
      </c>
      <c r="I44" s="270"/>
      <c r="J44" s="4"/>
      <c r="K44" s="4"/>
      <c r="L44" s="4"/>
      <c r="M44" s="4"/>
      <c r="N44" s="4"/>
      <c r="O44" s="4"/>
    </row>
    <row r="45" spans="1:15" x14ac:dyDescent="0.2">
      <c r="A45" s="136"/>
      <c r="B45" s="266" t="e">
        <f>VLOOKUP(A45,'דוח ביקורת'!$A$23:$I$101,2,FALSE)</f>
        <v>#N/A</v>
      </c>
      <c r="C45" s="267"/>
      <c r="D45" s="134" t="e">
        <f>VLOOKUP(A45,'דוח ביקורת'!$A$23:$I$101,4,FALSE)</f>
        <v>#N/A</v>
      </c>
      <c r="E45" s="134" t="e">
        <f>VLOOKUP(A45,'דוח ביקורת'!$A$23:$I$101,5,FALSE)</f>
        <v>#N/A</v>
      </c>
      <c r="F45" s="268" t="e">
        <f>VLOOKUP(A45,'דוח ביקורת'!$A$23:$I$101,6,FALSE)</f>
        <v>#N/A</v>
      </c>
      <c r="G45" s="269"/>
      <c r="H45" s="268" t="e">
        <f>VLOOKUP(A45,'דוח ביקורת'!$A$23:$I$101,8,FALSE)</f>
        <v>#N/A</v>
      </c>
      <c r="I45" s="270"/>
      <c r="J45" s="4"/>
      <c r="K45" s="4"/>
      <c r="L45" s="4"/>
      <c r="M45" s="4"/>
      <c r="N45" s="4"/>
      <c r="O45" s="4"/>
    </row>
    <row r="46" spans="1:15" x14ac:dyDescent="0.2">
      <c r="A46" s="136"/>
      <c r="B46" s="266" t="e">
        <f>VLOOKUP(A46,'דוח ביקורת'!$A$23:$I$101,2,FALSE)</f>
        <v>#N/A</v>
      </c>
      <c r="C46" s="267"/>
      <c r="D46" s="134" t="e">
        <f>VLOOKUP(A46,'דוח ביקורת'!$A$23:$I$101,4,FALSE)</f>
        <v>#N/A</v>
      </c>
      <c r="E46" s="134" t="e">
        <f>VLOOKUP(A46,'דוח ביקורת'!$A$23:$I$101,5,FALSE)</f>
        <v>#N/A</v>
      </c>
      <c r="F46" s="268" t="e">
        <f>VLOOKUP(A46,'דוח ביקורת'!$A$23:$I$101,6,FALSE)</f>
        <v>#N/A</v>
      </c>
      <c r="G46" s="269"/>
      <c r="H46" s="268" t="e">
        <f>VLOOKUP(A46,'דוח ביקורת'!$A$23:$I$101,8,FALSE)</f>
        <v>#N/A</v>
      </c>
      <c r="I46" s="270"/>
      <c r="J46" s="4"/>
      <c r="K46" s="4"/>
      <c r="L46" s="4"/>
      <c r="M46" s="4"/>
      <c r="N46" s="4"/>
      <c r="O46" s="4"/>
    </row>
    <row r="47" spans="1:15" x14ac:dyDescent="0.2">
      <c r="A47" s="136"/>
      <c r="B47" s="266" t="e">
        <f>VLOOKUP(A47,'דוח ביקורת'!$A$23:$I$101,2,FALSE)</f>
        <v>#N/A</v>
      </c>
      <c r="C47" s="267"/>
      <c r="D47" s="134" t="e">
        <f>VLOOKUP(A47,'דוח ביקורת'!$A$23:$I$101,4,FALSE)</f>
        <v>#N/A</v>
      </c>
      <c r="E47" s="134" t="e">
        <f>VLOOKUP(A47,'דוח ביקורת'!$A$23:$I$101,5,FALSE)</f>
        <v>#N/A</v>
      </c>
      <c r="F47" s="268" t="e">
        <f>VLOOKUP(A47,'דוח ביקורת'!$A$23:$I$101,6,FALSE)</f>
        <v>#N/A</v>
      </c>
      <c r="G47" s="269"/>
      <c r="H47" s="268" t="e">
        <f>VLOOKUP(A47,'דוח ביקורת'!$A$23:$I$101,8,FALSE)</f>
        <v>#N/A</v>
      </c>
      <c r="I47" s="270"/>
      <c r="J47" s="4"/>
      <c r="K47" s="4"/>
      <c r="L47" s="4"/>
      <c r="M47" s="4"/>
      <c r="N47" s="4"/>
      <c r="O47" s="4"/>
    </row>
    <row r="48" spans="1:15" x14ac:dyDescent="0.2">
      <c r="A48" s="136"/>
      <c r="B48" s="266" t="e">
        <f>VLOOKUP(A48,'דוח ביקורת'!$A$23:$I$101,2,FALSE)</f>
        <v>#N/A</v>
      </c>
      <c r="C48" s="267"/>
      <c r="D48" s="134" t="e">
        <f>VLOOKUP(A48,'דוח ביקורת'!$A$23:$I$101,4,FALSE)</f>
        <v>#N/A</v>
      </c>
      <c r="E48" s="134" t="e">
        <f>VLOOKUP(A48,'דוח ביקורת'!$A$23:$I$101,5,FALSE)</f>
        <v>#N/A</v>
      </c>
      <c r="F48" s="268" t="e">
        <f>VLOOKUP(A48,'דוח ביקורת'!$A$23:$I$101,6,FALSE)</f>
        <v>#N/A</v>
      </c>
      <c r="G48" s="269"/>
      <c r="H48" s="268" t="e">
        <f>VLOOKUP(A48,'דוח ביקורת'!$A$23:$I$101,8,FALSE)</f>
        <v>#N/A</v>
      </c>
      <c r="I48" s="270"/>
      <c r="J48" s="4"/>
      <c r="K48" s="4"/>
      <c r="L48" s="4"/>
      <c r="M48" s="4"/>
      <c r="N48" s="4"/>
      <c r="O48" s="4"/>
    </row>
    <row r="49" spans="1:15" x14ac:dyDescent="0.2">
      <c r="A49" s="136"/>
      <c r="B49" s="266" t="e">
        <f>VLOOKUP(A49,'דוח ביקורת'!$A$23:$I$101,2,FALSE)</f>
        <v>#N/A</v>
      </c>
      <c r="C49" s="267"/>
      <c r="D49" s="134" t="e">
        <f>VLOOKUP(A49,'דוח ביקורת'!$A$23:$I$101,4,FALSE)</f>
        <v>#N/A</v>
      </c>
      <c r="E49" s="134" t="e">
        <f>VLOOKUP(A49,'דוח ביקורת'!$A$23:$I$101,5,FALSE)</f>
        <v>#N/A</v>
      </c>
      <c r="F49" s="268" t="e">
        <f>VLOOKUP(A49,'דוח ביקורת'!$A$23:$I$101,6,FALSE)</f>
        <v>#N/A</v>
      </c>
      <c r="G49" s="269"/>
      <c r="H49" s="268" t="e">
        <f>VLOOKUP(A49,'דוח ביקורת'!$A$23:$I$101,8,FALSE)</f>
        <v>#N/A</v>
      </c>
      <c r="I49" s="270"/>
      <c r="J49" s="4"/>
      <c r="K49" s="4"/>
      <c r="L49" s="4"/>
      <c r="M49" s="4"/>
      <c r="N49" s="4"/>
      <c r="O49" s="4"/>
    </row>
    <row r="50" spans="1:15" x14ac:dyDescent="0.2">
      <c r="A50" s="136"/>
      <c r="B50" s="266" t="e">
        <f>VLOOKUP(A50,'דוח ביקורת'!$A$23:$I$101,2,FALSE)</f>
        <v>#N/A</v>
      </c>
      <c r="C50" s="267"/>
      <c r="D50" s="134" t="e">
        <f>VLOOKUP(A50,'דוח ביקורת'!$A$23:$I$101,4,FALSE)</f>
        <v>#N/A</v>
      </c>
      <c r="E50" s="134" t="e">
        <f>VLOOKUP(A50,'דוח ביקורת'!$A$23:$I$101,5,FALSE)</f>
        <v>#N/A</v>
      </c>
      <c r="F50" s="268" t="e">
        <f>VLOOKUP(A50,'דוח ביקורת'!$A$23:$I$101,6,FALSE)</f>
        <v>#N/A</v>
      </c>
      <c r="G50" s="269"/>
      <c r="H50" s="268" t="e">
        <f>VLOOKUP(A50,'דוח ביקורת'!$A$23:$I$101,8,FALSE)</f>
        <v>#N/A</v>
      </c>
      <c r="I50" s="270"/>
      <c r="J50" s="4"/>
      <c r="K50" s="4"/>
      <c r="L50" s="4"/>
      <c r="M50" s="4"/>
      <c r="N50" s="4"/>
      <c r="O50" s="4"/>
    </row>
    <row r="51" spans="1:15" x14ac:dyDescent="0.2">
      <c r="A51" s="136"/>
      <c r="B51" s="266" t="e">
        <f>VLOOKUP(A51,'דוח ביקורת'!$A$23:$I$101,2,FALSE)</f>
        <v>#N/A</v>
      </c>
      <c r="C51" s="267"/>
      <c r="D51" s="134" t="e">
        <f>VLOOKUP(A51,'דוח ביקורת'!$A$23:$I$101,4,FALSE)</f>
        <v>#N/A</v>
      </c>
      <c r="E51" s="134" t="e">
        <f>VLOOKUP(A51,'דוח ביקורת'!$A$23:$I$101,5,FALSE)</f>
        <v>#N/A</v>
      </c>
      <c r="F51" s="268" t="e">
        <f>VLOOKUP(A51,'דוח ביקורת'!$A$23:$I$101,6,FALSE)</f>
        <v>#N/A</v>
      </c>
      <c r="G51" s="269"/>
      <c r="H51" s="268" t="e">
        <f>VLOOKUP(A51,'דוח ביקורת'!$A$23:$I$101,8,FALSE)</f>
        <v>#N/A</v>
      </c>
      <c r="I51" s="270"/>
      <c r="J51" s="4"/>
      <c r="K51" s="4"/>
      <c r="L51" s="4"/>
      <c r="M51" s="4"/>
      <c r="N51" s="4"/>
      <c r="O51" s="4"/>
    </row>
    <row r="52" spans="1:15" x14ac:dyDescent="0.2">
      <c r="A52" s="136"/>
      <c r="B52" s="266" t="e">
        <f>VLOOKUP(A52,'דוח ביקורת'!$A$23:$I$101,2,FALSE)</f>
        <v>#N/A</v>
      </c>
      <c r="C52" s="267"/>
      <c r="D52" s="134" t="e">
        <f>VLOOKUP(A52,'דוח ביקורת'!$A$23:$I$101,4,FALSE)</f>
        <v>#N/A</v>
      </c>
      <c r="E52" s="134" t="e">
        <f>VLOOKUP(A52,'דוח ביקורת'!$A$23:$I$101,5,FALSE)</f>
        <v>#N/A</v>
      </c>
      <c r="F52" s="268" t="e">
        <f>VLOOKUP(A52,'דוח ביקורת'!$A$23:$I$101,6,FALSE)</f>
        <v>#N/A</v>
      </c>
      <c r="G52" s="269"/>
      <c r="H52" s="268" t="e">
        <f>VLOOKUP(A52,'דוח ביקורת'!$A$23:$I$101,8,FALSE)</f>
        <v>#N/A</v>
      </c>
      <c r="I52" s="270"/>
      <c r="J52" s="4"/>
      <c r="K52" s="4"/>
      <c r="L52" s="4"/>
      <c r="M52" s="4"/>
      <c r="N52" s="4"/>
      <c r="O52" s="4"/>
    </row>
    <row r="53" spans="1:15" x14ac:dyDescent="0.2">
      <c r="A53" s="136"/>
      <c r="B53" s="266" t="e">
        <f>VLOOKUP(A53,'דוח ביקורת'!$A$23:$I$101,2,FALSE)</f>
        <v>#N/A</v>
      </c>
      <c r="C53" s="267"/>
      <c r="D53" s="134" t="e">
        <f>VLOOKUP(A53,'דוח ביקורת'!$A$23:$I$101,4,FALSE)</f>
        <v>#N/A</v>
      </c>
      <c r="E53" s="134" t="e">
        <f>VLOOKUP(A53,'דוח ביקורת'!$A$23:$I$101,5,FALSE)</f>
        <v>#N/A</v>
      </c>
      <c r="F53" s="268" t="e">
        <f>VLOOKUP(A53,'דוח ביקורת'!$A$23:$I$101,6,FALSE)</f>
        <v>#N/A</v>
      </c>
      <c r="G53" s="269"/>
      <c r="H53" s="268" t="e">
        <f>VLOOKUP(A53,'דוח ביקורת'!$A$23:$I$101,8,FALSE)</f>
        <v>#N/A</v>
      </c>
      <c r="I53" s="270"/>
      <c r="J53" s="4"/>
      <c r="K53" s="4"/>
      <c r="L53" s="4"/>
      <c r="M53" s="4"/>
      <c r="N53" s="4"/>
      <c r="O53" s="4"/>
    </row>
    <row r="54" spans="1:15" x14ac:dyDescent="0.2">
      <c r="A54" s="136"/>
      <c r="B54" s="266" t="e">
        <f>VLOOKUP(A54,'דוח ביקורת'!$A$23:$I$101,2,FALSE)</f>
        <v>#N/A</v>
      </c>
      <c r="C54" s="267"/>
      <c r="D54" s="134" t="e">
        <f>VLOOKUP(A54,'דוח ביקורת'!$A$23:$I$101,4,FALSE)</f>
        <v>#N/A</v>
      </c>
      <c r="E54" s="134" t="e">
        <f>VLOOKUP(A54,'דוח ביקורת'!$A$23:$I$101,5,FALSE)</f>
        <v>#N/A</v>
      </c>
      <c r="F54" s="268" t="e">
        <f>VLOOKUP(A54,'דוח ביקורת'!$A$23:$I$101,6,FALSE)</f>
        <v>#N/A</v>
      </c>
      <c r="G54" s="269"/>
      <c r="H54" s="268" t="e">
        <f>VLOOKUP(A54,'דוח ביקורת'!$A$23:$I$101,8,FALSE)</f>
        <v>#N/A</v>
      </c>
      <c r="I54" s="270"/>
      <c r="J54" s="4"/>
      <c r="K54" s="4"/>
      <c r="L54" s="4"/>
      <c r="M54" s="4"/>
      <c r="N54" s="4"/>
      <c r="O54" s="4"/>
    </row>
    <row r="55" spans="1:15" x14ac:dyDescent="0.2">
      <c r="A55" s="136"/>
      <c r="B55" s="266" t="e">
        <f>VLOOKUP(A55,'דוח ביקורת'!$A$23:$I$101,2,FALSE)</f>
        <v>#N/A</v>
      </c>
      <c r="C55" s="267"/>
      <c r="D55" s="134" t="e">
        <f>VLOOKUP(A55,'דוח ביקורת'!$A$23:$I$101,4,FALSE)</f>
        <v>#N/A</v>
      </c>
      <c r="E55" s="134" t="e">
        <f>VLOOKUP(A55,'דוח ביקורת'!$A$23:$I$101,5,FALSE)</f>
        <v>#N/A</v>
      </c>
      <c r="F55" s="268" t="e">
        <f>VLOOKUP(A55,'דוח ביקורת'!$A$23:$I$101,6,FALSE)</f>
        <v>#N/A</v>
      </c>
      <c r="G55" s="269"/>
      <c r="H55" s="268" t="e">
        <f>VLOOKUP(A55,'דוח ביקורת'!$A$23:$I$101,8,FALSE)</f>
        <v>#N/A</v>
      </c>
      <c r="I55" s="270"/>
      <c r="J55" s="4"/>
      <c r="K55" s="4"/>
      <c r="L55" s="4"/>
      <c r="M55" s="4"/>
      <c r="N55" s="4"/>
      <c r="O55" s="4"/>
    </row>
    <row r="56" spans="1:15" x14ac:dyDescent="0.2">
      <c r="A56" s="136"/>
      <c r="B56" s="266" t="e">
        <f>VLOOKUP(A56,'דוח ביקורת'!$A$23:$I$101,2,FALSE)</f>
        <v>#N/A</v>
      </c>
      <c r="C56" s="267"/>
      <c r="D56" s="134" t="e">
        <f>VLOOKUP(A56,'דוח ביקורת'!$A$23:$I$101,4,FALSE)</f>
        <v>#N/A</v>
      </c>
      <c r="E56" s="134" t="e">
        <f>VLOOKUP(A56,'דוח ביקורת'!$A$23:$I$101,5,FALSE)</f>
        <v>#N/A</v>
      </c>
      <c r="F56" s="268" t="e">
        <f>VLOOKUP(A56,'דוח ביקורת'!$A$23:$I$101,6,FALSE)</f>
        <v>#N/A</v>
      </c>
      <c r="G56" s="269"/>
      <c r="H56" s="268" t="e">
        <f>VLOOKUP(A56,'דוח ביקורת'!$A$23:$I$101,8,FALSE)</f>
        <v>#N/A</v>
      </c>
      <c r="I56" s="270"/>
      <c r="J56" s="4"/>
      <c r="K56" s="4"/>
      <c r="L56" s="4"/>
      <c r="M56" s="4"/>
      <c r="N56" s="4"/>
      <c r="O56" s="4"/>
    </row>
    <row r="57" spans="1:15" x14ac:dyDescent="0.2">
      <c r="A57" s="136"/>
      <c r="B57" s="266" t="e">
        <f>VLOOKUP(A57,'דוח ביקורת'!$A$23:$I$101,2,FALSE)</f>
        <v>#N/A</v>
      </c>
      <c r="C57" s="267"/>
      <c r="D57" s="134" t="e">
        <f>VLOOKUP(A57,'דוח ביקורת'!$A$23:$I$101,4,FALSE)</f>
        <v>#N/A</v>
      </c>
      <c r="E57" s="134" t="e">
        <f>VLOOKUP(A57,'דוח ביקורת'!$A$23:$I$101,5,FALSE)</f>
        <v>#N/A</v>
      </c>
      <c r="F57" s="268" t="e">
        <f>VLOOKUP(A57,'דוח ביקורת'!$A$23:$I$101,6,FALSE)</f>
        <v>#N/A</v>
      </c>
      <c r="G57" s="269"/>
      <c r="H57" s="268" t="e">
        <f>VLOOKUP(A57,'דוח ביקורת'!$A$23:$I$101,8,FALSE)</f>
        <v>#N/A</v>
      </c>
      <c r="I57" s="270"/>
      <c r="J57" s="4"/>
      <c r="K57" s="4"/>
      <c r="L57" s="4"/>
      <c r="M57" s="4"/>
      <c r="N57" s="4"/>
      <c r="O57" s="4"/>
    </row>
    <row r="58" spans="1:15" x14ac:dyDescent="0.2">
      <c r="A58" s="136"/>
      <c r="B58" s="266" t="e">
        <f>VLOOKUP(A58,'דוח ביקורת'!$A$23:$I$101,2,FALSE)</f>
        <v>#N/A</v>
      </c>
      <c r="C58" s="267"/>
      <c r="D58" s="134" t="e">
        <f>VLOOKUP(A58,'דוח ביקורת'!$A$23:$I$101,4,FALSE)</f>
        <v>#N/A</v>
      </c>
      <c r="E58" s="134" t="e">
        <f>VLOOKUP(A58,'דוח ביקורת'!$A$23:$I$101,5,FALSE)</f>
        <v>#N/A</v>
      </c>
      <c r="F58" s="268" t="e">
        <f>VLOOKUP(A58,'דוח ביקורת'!$A$23:$I$101,6,FALSE)</f>
        <v>#N/A</v>
      </c>
      <c r="G58" s="269"/>
      <c r="H58" s="268" t="e">
        <f>VLOOKUP(A58,'דוח ביקורת'!$A$23:$I$101,8,FALSE)</f>
        <v>#N/A</v>
      </c>
      <c r="I58" s="270"/>
      <c r="J58" s="4"/>
      <c r="K58" s="4"/>
      <c r="L58" s="4"/>
      <c r="M58" s="4"/>
      <c r="N58" s="4"/>
      <c r="O58" s="4"/>
    </row>
    <row r="59" spans="1:15" x14ac:dyDescent="0.2">
      <c r="A59" s="136"/>
      <c r="B59" s="266" t="e">
        <f>VLOOKUP(A59,'דוח ביקורת'!$A$23:$I$101,2,FALSE)</f>
        <v>#N/A</v>
      </c>
      <c r="C59" s="267"/>
      <c r="D59" s="134" t="e">
        <f>VLOOKUP(A59,'דוח ביקורת'!$A$23:$I$101,4,FALSE)</f>
        <v>#N/A</v>
      </c>
      <c r="E59" s="134" t="e">
        <f>VLOOKUP(A59,'דוח ביקורת'!$A$23:$I$101,5,FALSE)</f>
        <v>#N/A</v>
      </c>
      <c r="F59" s="268" t="e">
        <f>VLOOKUP(A59,'דוח ביקורת'!$A$23:$I$101,6,FALSE)</f>
        <v>#N/A</v>
      </c>
      <c r="G59" s="269"/>
      <c r="H59" s="268" t="e">
        <f>VLOOKUP(A59,'דוח ביקורת'!$A$23:$I$101,8,FALSE)</f>
        <v>#N/A</v>
      </c>
      <c r="I59" s="270"/>
      <c r="J59" s="4"/>
      <c r="K59" s="4"/>
      <c r="L59" s="4"/>
      <c r="M59" s="4"/>
      <c r="N59" s="4"/>
      <c r="O59" s="4"/>
    </row>
    <row r="60" spans="1:15" x14ac:dyDescent="0.2">
      <c r="A60" s="136"/>
      <c r="B60" s="266" t="e">
        <f>VLOOKUP(A60,'דוח ביקורת'!$A$23:$I$101,2,FALSE)</f>
        <v>#N/A</v>
      </c>
      <c r="C60" s="267"/>
      <c r="D60" s="134" t="e">
        <f>VLOOKUP(A60,'דוח ביקורת'!$A$23:$I$101,4,FALSE)</f>
        <v>#N/A</v>
      </c>
      <c r="E60" s="134" t="e">
        <f>VLOOKUP(A60,'דוח ביקורת'!$A$23:$I$101,5,FALSE)</f>
        <v>#N/A</v>
      </c>
      <c r="F60" s="268" t="e">
        <f>VLOOKUP(A60,'דוח ביקורת'!$A$23:$I$101,6,FALSE)</f>
        <v>#N/A</v>
      </c>
      <c r="G60" s="269"/>
      <c r="H60" s="268" t="e">
        <f>VLOOKUP(A60,'דוח ביקורת'!$A$23:$I$101,8,FALSE)</f>
        <v>#N/A</v>
      </c>
      <c r="I60" s="270"/>
      <c r="J60" s="4"/>
      <c r="K60" s="4"/>
      <c r="L60" s="4"/>
      <c r="M60" s="4"/>
      <c r="N60" s="4"/>
      <c r="O60" s="4"/>
    </row>
    <row r="61" spans="1:15" x14ac:dyDescent="0.2">
      <c r="A61" s="136"/>
      <c r="B61" s="266" t="e">
        <f>VLOOKUP(A61,'דוח ביקורת'!$A$23:$I$101,2,FALSE)</f>
        <v>#N/A</v>
      </c>
      <c r="C61" s="267"/>
      <c r="D61" s="134" t="e">
        <f>VLOOKUP(A61,'דוח ביקורת'!$A$23:$I$101,4,FALSE)</f>
        <v>#N/A</v>
      </c>
      <c r="E61" s="134" t="e">
        <f>VLOOKUP(A61,'דוח ביקורת'!$A$23:$I$101,5,FALSE)</f>
        <v>#N/A</v>
      </c>
      <c r="F61" s="268" t="e">
        <f>VLOOKUP(A61,'דוח ביקורת'!$A$23:$I$101,6,FALSE)</f>
        <v>#N/A</v>
      </c>
      <c r="G61" s="269"/>
      <c r="H61" s="268" t="e">
        <f>VLOOKUP(A61,'דוח ביקורת'!$A$23:$I$101,8,FALSE)</f>
        <v>#N/A</v>
      </c>
      <c r="I61" s="270"/>
      <c r="J61" s="4"/>
      <c r="K61" s="4"/>
      <c r="L61" s="4"/>
      <c r="M61" s="4"/>
      <c r="N61" s="4"/>
      <c r="O61" s="4"/>
    </row>
    <row r="62" spans="1:15" x14ac:dyDescent="0.2">
      <c r="A62" s="136"/>
      <c r="B62" s="266" t="e">
        <f>VLOOKUP(A62,'דוח ביקורת'!$A$23:$I$101,2,FALSE)</f>
        <v>#N/A</v>
      </c>
      <c r="C62" s="267"/>
      <c r="D62" s="134" t="e">
        <f>VLOOKUP(A62,'דוח ביקורת'!$A$23:$I$101,4,FALSE)</f>
        <v>#N/A</v>
      </c>
      <c r="E62" s="134" t="e">
        <f>VLOOKUP(A62,'דוח ביקורת'!$A$23:$I$101,5,FALSE)</f>
        <v>#N/A</v>
      </c>
      <c r="F62" s="268" t="e">
        <f>VLOOKUP(A62,'דוח ביקורת'!$A$23:$I$101,6,FALSE)</f>
        <v>#N/A</v>
      </c>
      <c r="G62" s="269"/>
      <c r="H62" s="268" t="e">
        <f>VLOOKUP(A62,'דוח ביקורת'!$A$23:$I$101,8,FALSE)</f>
        <v>#N/A</v>
      </c>
      <c r="I62" s="270"/>
      <c r="J62" s="4"/>
      <c r="K62" s="4"/>
      <c r="L62" s="4"/>
      <c r="M62" s="4"/>
      <c r="N62" s="4"/>
      <c r="O62" s="4"/>
    </row>
    <row r="63" spans="1:15" x14ac:dyDescent="0.2">
      <c r="A63" s="136"/>
      <c r="B63" s="266" t="e">
        <f>VLOOKUP(A63,'דוח ביקורת'!$A$23:$I$101,2,FALSE)</f>
        <v>#N/A</v>
      </c>
      <c r="C63" s="267"/>
      <c r="D63" s="134" t="e">
        <f>VLOOKUP(A63,'דוח ביקורת'!$A$23:$I$101,4,FALSE)</f>
        <v>#N/A</v>
      </c>
      <c r="E63" s="134" t="e">
        <f>VLOOKUP(A63,'דוח ביקורת'!$A$23:$I$101,5,FALSE)</f>
        <v>#N/A</v>
      </c>
      <c r="F63" s="268" t="e">
        <f>VLOOKUP(A63,'דוח ביקורת'!$A$23:$I$101,6,FALSE)</f>
        <v>#N/A</v>
      </c>
      <c r="G63" s="269"/>
      <c r="H63" s="268" t="e">
        <f>VLOOKUP(A63,'דוח ביקורת'!$A$23:$I$101,8,FALSE)</f>
        <v>#N/A</v>
      </c>
      <c r="I63" s="270"/>
      <c r="J63" s="4"/>
      <c r="K63" s="4"/>
      <c r="L63" s="4"/>
      <c r="M63" s="4"/>
      <c r="N63" s="4"/>
      <c r="O63" s="4"/>
    </row>
    <row r="64" spans="1:15" x14ac:dyDescent="0.2">
      <c r="A64" s="136"/>
      <c r="B64" s="266" t="e">
        <f>VLOOKUP(A64,'דוח ביקורת'!$A$23:$I$101,2,FALSE)</f>
        <v>#N/A</v>
      </c>
      <c r="C64" s="267"/>
      <c r="D64" s="134" t="e">
        <f>VLOOKUP(A64,'דוח ביקורת'!$A$23:$I$101,4,FALSE)</f>
        <v>#N/A</v>
      </c>
      <c r="E64" s="134" t="e">
        <f>VLOOKUP(A64,'דוח ביקורת'!$A$23:$I$101,5,FALSE)</f>
        <v>#N/A</v>
      </c>
      <c r="F64" s="268" t="e">
        <f>VLOOKUP(A64,'דוח ביקורת'!$A$23:$I$101,6,FALSE)</f>
        <v>#N/A</v>
      </c>
      <c r="G64" s="269"/>
      <c r="H64" s="268" t="e">
        <f>VLOOKUP(A64,'דוח ביקורת'!$A$23:$I$101,8,FALSE)</f>
        <v>#N/A</v>
      </c>
      <c r="I64" s="270"/>
      <c r="J64" s="4"/>
      <c r="K64" s="4"/>
      <c r="L64" s="4"/>
      <c r="M64" s="4"/>
      <c r="N64" s="4"/>
      <c r="O64" s="4"/>
    </row>
    <row r="65" spans="1:15" x14ac:dyDescent="0.2">
      <c r="A65" s="136"/>
      <c r="B65" s="266" t="e">
        <f>VLOOKUP(A65,'דוח ביקורת'!$A$23:$I$101,2,FALSE)</f>
        <v>#N/A</v>
      </c>
      <c r="C65" s="267"/>
      <c r="D65" s="134" t="e">
        <f>VLOOKUP(A65,'דוח ביקורת'!$A$23:$I$101,4,FALSE)</f>
        <v>#N/A</v>
      </c>
      <c r="E65" s="134" t="e">
        <f>VLOOKUP(A65,'דוח ביקורת'!$A$23:$I$101,5,FALSE)</f>
        <v>#N/A</v>
      </c>
      <c r="F65" s="268" t="e">
        <f>VLOOKUP(A65,'דוח ביקורת'!$A$23:$I$101,6,FALSE)</f>
        <v>#N/A</v>
      </c>
      <c r="G65" s="269"/>
      <c r="H65" s="268" t="e">
        <f>VLOOKUP(A65,'דוח ביקורת'!$A$23:$I$101,8,FALSE)</f>
        <v>#N/A</v>
      </c>
      <c r="I65" s="270"/>
      <c r="J65" s="4"/>
      <c r="K65" s="4"/>
      <c r="L65" s="4"/>
      <c r="M65" s="4"/>
      <c r="N65" s="4"/>
      <c r="O65" s="4"/>
    </row>
    <row r="66" spans="1:15" x14ac:dyDescent="0.2">
      <c r="J66" s="4"/>
      <c r="K66" s="4"/>
      <c r="L66" s="4"/>
      <c r="M66" s="4"/>
      <c r="N66" s="4"/>
      <c r="O66" s="4"/>
    </row>
    <row r="67" spans="1:15" ht="15" x14ac:dyDescent="0.25">
      <c r="H67" s="273" t="s">
        <v>395</v>
      </c>
      <c r="I67" s="274"/>
      <c r="J67" s="4"/>
      <c r="K67" s="4"/>
      <c r="L67" s="4"/>
      <c r="M67" s="4"/>
      <c r="N67" s="4"/>
      <c r="O67" s="4"/>
    </row>
    <row r="68" spans="1:15" ht="15" x14ac:dyDescent="0.25">
      <c r="H68" s="273" t="s">
        <v>393</v>
      </c>
      <c r="I68" s="274"/>
      <c r="J68" s="4"/>
      <c r="K68" s="4"/>
      <c r="L68" s="4"/>
      <c r="M68" s="4"/>
      <c r="N68" s="4"/>
      <c r="O68" s="4"/>
    </row>
    <row r="69" spans="1:15" ht="15" x14ac:dyDescent="0.25">
      <c r="H69" s="273" t="s">
        <v>394</v>
      </c>
      <c r="I69" s="274"/>
      <c r="J69" s="4"/>
      <c r="K69" s="4"/>
      <c r="L69" s="4"/>
      <c r="M69" s="4"/>
      <c r="N69" s="4"/>
      <c r="O69" s="4"/>
    </row>
    <row r="70" spans="1:15" x14ac:dyDescent="0.2">
      <c r="H70" s="275" t="s">
        <v>275</v>
      </c>
      <c r="I70" s="275"/>
      <c r="J70" s="4"/>
      <c r="K70" s="4"/>
      <c r="L70" s="4"/>
      <c r="M70" s="4"/>
      <c r="N70" s="4"/>
      <c r="O70" s="4"/>
    </row>
    <row r="71" spans="1:15" x14ac:dyDescent="0.2">
      <c r="H71" s="275"/>
      <c r="I71" s="275"/>
      <c r="J71" s="4"/>
      <c r="K71" s="4"/>
      <c r="L71" s="4"/>
      <c r="M71" s="4"/>
      <c r="N71" s="4"/>
      <c r="O71" s="4"/>
    </row>
    <row r="72" spans="1:15" x14ac:dyDescent="0.2">
      <c r="H72" s="275"/>
      <c r="I72" s="275"/>
      <c r="J72" s="4"/>
      <c r="K72" s="4"/>
      <c r="L72" s="4"/>
      <c r="M72" s="4"/>
      <c r="N72" s="4"/>
      <c r="O72" s="4"/>
    </row>
    <row r="91" spans="10:20" x14ac:dyDescent="0.2">
      <c r="J91" s="121"/>
      <c r="K91" s="121"/>
      <c r="L91" s="121"/>
      <c r="M91" s="121"/>
      <c r="N91" s="121"/>
      <c r="O91" s="121"/>
      <c r="P91" s="121"/>
      <c r="Q91" s="121"/>
      <c r="R91" s="121"/>
      <c r="S91" s="121"/>
      <c r="T91" s="121"/>
    </row>
    <row r="92" spans="10:20" x14ac:dyDescent="0.2">
      <c r="J92" s="4"/>
      <c r="K92" s="4"/>
      <c r="L92" s="4"/>
      <c r="M92" s="4"/>
      <c r="N92" s="4"/>
      <c r="O92" s="4"/>
      <c r="P92" s="4"/>
      <c r="Q92" s="4"/>
      <c r="R92" s="4"/>
      <c r="S92" s="4"/>
      <c r="T92" s="4"/>
    </row>
    <row r="93" spans="10:20" x14ac:dyDescent="0.2">
      <c r="J93" s="4"/>
      <c r="K93" s="4"/>
      <c r="L93" s="4"/>
      <c r="M93" s="4"/>
      <c r="N93" s="4"/>
      <c r="O93" s="4"/>
      <c r="P93" s="4"/>
      <c r="Q93" s="4"/>
      <c r="R93" s="4"/>
      <c r="S93" s="4"/>
      <c r="T93" s="4"/>
    </row>
    <row r="94" spans="10:20" x14ac:dyDescent="0.2">
      <c r="J94" s="4"/>
      <c r="K94" s="4"/>
      <c r="L94" s="4"/>
      <c r="M94" s="4"/>
      <c r="N94" s="4"/>
      <c r="O94" s="4"/>
      <c r="P94" s="4"/>
      <c r="Q94" s="4"/>
      <c r="R94" s="4"/>
      <c r="S94" s="4"/>
      <c r="T94" s="4"/>
    </row>
    <row r="95" spans="10:20" x14ac:dyDescent="0.2">
      <c r="J95" s="4"/>
      <c r="K95" s="4"/>
      <c r="L95" s="4"/>
      <c r="M95" s="4"/>
      <c r="N95" s="4"/>
      <c r="O95" s="4"/>
      <c r="P95" s="4"/>
      <c r="Q95" s="4"/>
      <c r="R95" s="4"/>
      <c r="S95" s="4"/>
      <c r="T95" s="4"/>
    </row>
    <row r="96" spans="10:20" x14ac:dyDescent="0.2">
      <c r="J96" s="4"/>
      <c r="K96" s="4"/>
      <c r="L96" s="4"/>
      <c r="M96" s="4"/>
      <c r="N96" s="4"/>
      <c r="O96" s="4"/>
      <c r="P96" s="4"/>
      <c r="Q96" s="4"/>
      <c r="R96" s="4"/>
      <c r="S96" s="4"/>
      <c r="T96" s="4"/>
    </row>
    <row r="97" spans="10:20" x14ac:dyDescent="0.2">
      <c r="J97" s="4"/>
      <c r="K97" s="4"/>
      <c r="L97" s="4"/>
      <c r="M97" s="4"/>
      <c r="N97" s="4"/>
      <c r="O97" s="4"/>
      <c r="P97" s="4"/>
      <c r="Q97" s="4"/>
      <c r="R97" s="4"/>
      <c r="S97" s="4"/>
      <c r="T97" s="4"/>
    </row>
    <row r="98" spans="10:20" x14ac:dyDescent="0.2">
      <c r="J98" s="4"/>
      <c r="K98" s="4"/>
      <c r="L98" s="4"/>
      <c r="M98" s="4"/>
      <c r="N98" s="4"/>
      <c r="O98" s="4"/>
      <c r="P98" s="4"/>
      <c r="Q98" s="4"/>
      <c r="R98" s="4"/>
      <c r="S98" s="4"/>
      <c r="T98" s="4"/>
    </row>
    <row r="99" spans="10:20" x14ac:dyDescent="0.2">
      <c r="J99" s="4"/>
      <c r="K99" s="4"/>
      <c r="L99" s="4"/>
      <c r="M99" s="4"/>
      <c r="N99" s="4"/>
      <c r="O99" s="4"/>
      <c r="P99" s="4"/>
      <c r="Q99" s="4"/>
      <c r="R99" s="4"/>
      <c r="S99" s="4"/>
      <c r="T99" s="4"/>
    </row>
  </sheetData>
  <autoFilter ref="A19:I65" xr:uid="{487AF9B4-2E45-4E65-AE72-C8056A3BF8FC}">
    <filterColumn colId="1" showButton="0">
      <customFilters>
        <customFilter operator="notEqual" val=" "/>
      </customFilters>
    </filterColumn>
    <filterColumn colId="5" showButton="0"/>
    <filterColumn colId="7" showButton="0"/>
  </autoFilter>
  <mergeCells count="177">
    <mergeCell ref="H67:I67"/>
    <mergeCell ref="H68:I68"/>
    <mergeCell ref="H69:I69"/>
    <mergeCell ref="H70:I72"/>
    <mergeCell ref="B64:C64"/>
    <mergeCell ref="F64:G64"/>
    <mergeCell ref="H64:I64"/>
    <mergeCell ref="B65:C65"/>
    <mergeCell ref="F65:G65"/>
    <mergeCell ref="H65:I65"/>
    <mergeCell ref="B62:C62"/>
    <mergeCell ref="F62:G62"/>
    <mergeCell ref="H62:I62"/>
    <mergeCell ref="B63:C63"/>
    <mergeCell ref="F63:G63"/>
    <mergeCell ref="H63:I63"/>
    <mergeCell ref="B60:C60"/>
    <mergeCell ref="F60:G60"/>
    <mergeCell ref="H60:I60"/>
    <mergeCell ref="B61:C61"/>
    <mergeCell ref="F61:G61"/>
    <mergeCell ref="H61:I61"/>
    <mergeCell ref="B58:C58"/>
    <mergeCell ref="F58:G58"/>
    <mergeCell ref="H58:I58"/>
    <mergeCell ref="B59:C59"/>
    <mergeCell ref="F59:G59"/>
    <mergeCell ref="H59:I59"/>
    <mergeCell ref="B56:C56"/>
    <mergeCell ref="F56:G56"/>
    <mergeCell ref="H56:I56"/>
    <mergeCell ref="B57:C57"/>
    <mergeCell ref="F57:G57"/>
    <mergeCell ref="H57:I57"/>
    <mergeCell ref="B54:C54"/>
    <mergeCell ref="F54:G54"/>
    <mergeCell ref="H54:I54"/>
    <mergeCell ref="B55:C55"/>
    <mergeCell ref="F55:G55"/>
    <mergeCell ref="H55:I55"/>
    <mergeCell ref="B52:C52"/>
    <mergeCell ref="F52:G52"/>
    <mergeCell ref="H52:I52"/>
    <mergeCell ref="B53:C53"/>
    <mergeCell ref="F53:G53"/>
    <mergeCell ref="H53:I53"/>
    <mergeCell ref="B50:C50"/>
    <mergeCell ref="F50:G50"/>
    <mergeCell ref="H50:I50"/>
    <mergeCell ref="B51:C51"/>
    <mergeCell ref="F51:G51"/>
    <mergeCell ref="H51:I51"/>
    <mergeCell ref="B48:C48"/>
    <mergeCell ref="F48:G48"/>
    <mergeCell ref="H48:I48"/>
    <mergeCell ref="B49:C49"/>
    <mergeCell ref="F49:G49"/>
    <mergeCell ref="H49:I49"/>
    <mergeCell ref="B46:C46"/>
    <mergeCell ref="F46:G46"/>
    <mergeCell ref="H46:I46"/>
    <mergeCell ref="B47:C47"/>
    <mergeCell ref="F47:G47"/>
    <mergeCell ref="H47:I47"/>
    <mergeCell ref="B44:C44"/>
    <mergeCell ref="F44:G44"/>
    <mergeCell ref="H44:I44"/>
    <mergeCell ref="B45:C45"/>
    <mergeCell ref="F45:G45"/>
    <mergeCell ref="H45:I45"/>
    <mergeCell ref="B42:C42"/>
    <mergeCell ref="F42:G42"/>
    <mergeCell ref="H42:I42"/>
    <mergeCell ref="B43:C43"/>
    <mergeCell ref="F43:G43"/>
    <mergeCell ref="H43:I43"/>
    <mergeCell ref="B40:C40"/>
    <mergeCell ref="F40:G40"/>
    <mergeCell ref="H40:I40"/>
    <mergeCell ref="B41:C41"/>
    <mergeCell ref="F41:G41"/>
    <mergeCell ref="H41:I41"/>
    <mergeCell ref="B38:C38"/>
    <mergeCell ref="F38:G38"/>
    <mergeCell ref="H38:I38"/>
    <mergeCell ref="B39:C39"/>
    <mergeCell ref="F39:G39"/>
    <mergeCell ref="H39:I39"/>
    <mergeCell ref="B36:C36"/>
    <mergeCell ref="F36:G36"/>
    <mergeCell ref="H36:I36"/>
    <mergeCell ref="B37:C37"/>
    <mergeCell ref="F37:G37"/>
    <mergeCell ref="H37:I37"/>
    <mergeCell ref="B34:C34"/>
    <mergeCell ref="F34:G34"/>
    <mergeCell ref="H34:I34"/>
    <mergeCell ref="B35:C35"/>
    <mergeCell ref="F35:G35"/>
    <mergeCell ref="H35:I35"/>
    <mergeCell ref="B32:C32"/>
    <mergeCell ref="F32:G32"/>
    <mergeCell ref="H32:I32"/>
    <mergeCell ref="B33:C33"/>
    <mergeCell ref="F33:G33"/>
    <mergeCell ref="H33:I33"/>
    <mergeCell ref="B30:C30"/>
    <mergeCell ref="F30:G30"/>
    <mergeCell ref="H30:I30"/>
    <mergeCell ref="B31:C31"/>
    <mergeCell ref="F31:G31"/>
    <mergeCell ref="H31:I31"/>
    <mergeCell ref="B28:C28"/>
    <mergeCell ref="F28:G28"/>
    <mergeCell ref="H28:I28"/>
    <mergeCell ref="B29:C29"/>
    <mergeCell ref="F29:G29"/>
    <mergeCell ref="H29:I29"/>
    <mergeCell ref="B26:C26"/>
    <mergeCell ref="F26:G26"/>
    <mergeCell ref="H26:I26"/>
    <mergeCell ref="B27:C27"/>
    <mergeCell ref="F27:G27"/>
    <mergeCell ref="H27:I27"/>
    <mergeCell ref="B24:C24"/>
    <mergeCell ref="F24:G24"/>
    <mergeCell ref="H24:I24"/>
    <mergeCell ref="B25:C25"/>
    <mergeCell ref="F25:G25"/>
    <mergeCell ref="H25:I25"/>
    <mergeCell ref="B22:C22"/>
    <mergeCell ref="F22:G22"/>
    <mergeCell ref="H22:I22"/>
    <mergeCell ref="B23:C23"/>
    <mergeCell ref="F23:G23"/>
    <mergeCell ref="H23:I23"/>
    <mergeCell ref="B19:C19"/>
    <mergeCell ref="F19:G19"/>
    <mergeCell ref="H19:I19"/>
    <mergeCell ref="B21:C21"/>
    <mergeCell ref="F21:G21"/>
    <mergeCell ref="H21:I21"/>
    <mergeCell ref="I15:K15"/>
    <mergeCell ref="A17:B17"/>
    <mergeCell ref="C17:D17"/>
    <mergeCell ref="E17:F17"/>
    <mergeCell ref="G17:H17"/>
    <mergeCell ref="J17:K17"/>
    <mergeCell ref="M12:M14"/>
    <mergeCell ref="N12:N15"/>
    <mergeCell ref="O12:O14"/>
    <mergeCell ref="A13:B13"/>
    <mergeCell ref="C13:E13"/>
    <mergeCell ref="G13:I13"/>
    <mergeCell ref="J13:K13"/>
    <mergeCell ref="A15:B15"/>
    <mergeCell ref="C15:D15"/>
    <mergeCell ref="F15:H15"/>
    <mergeCell ref="B11:E11"/>
    <mergeCell ref="G11:I11"/>
    <mergeCell ref="J11:K11"/>
    <mergeCell ref="M11:O11"/>
    <mergeCell ref="A5:C5"/>
    <mergeCell ref="D5:K5"/>
    <mergeCell ref="M5:O7"/>
    <mergeCell ref="A7:B7"/>
    <mergeCell ref="E7:K7"/>
    <mergeCell ref="A1:E1"/>
    <mergeCell ref="F1:H1"/>
    <mergeCell ref="I1:K1"/>
    <mergeCell ref="M1:O1"/>
    <mergeCell ref="M2:O3"/>
    <mergeCell ref="A3:C3"/>
    <mergeCell ref="D3:K3"/>
    <mergeCell ref="M8:O9"/>
    <mergeCell ref="A9:B9"/>
    <mergeCell ref="C9:K9"/>
  </mergeCells>
  <conditionalFormatting sqref="A21:A65">
    <cfRule type="cellIs" dxfId="7" priority="1" operator="lessThan">
      <formula>1</formula>
    </cfRule>
  </conditionalFormatting>
  <conditionalFormatting sqref="F1 D3 D5 C7 C9 B11 J11 C13 J13 C15 I15">
    <cfRule type="containsBlanks" dxfId="6" priority="3">
      <formula>LEN(TRIM(B1))=0</formula>
    </cfRule>
  </conditionalFormatting>
  <conditionalFormatting sqref="M2 M8 M15 O15">
    <cfRule type="containsBlanks" dxfId="5" priority="2">
      <formula>LEN(TRIM(M2))=0</formula>
    </cfRule>
  </conditionalFormatting>
  <pageMargins left="0.7" right="0.7" top="1.5" bottom="0.75" header="0.3" footer="0.3"/>
  <pageSetup paperSize="9" scale="76" fitToHeight="0" orientation="landscape" r:id="rId1"/>
  <headerFooter>
    <oddHeader xml:space="preserve">&amp;C&amp;G&amp;R
</oddHeader>
    <oddFooter>&amp;Cטופס 010 מהדורה 01</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AF9B4-2E45-4E65-AE72-C8056A3BF8FC}">
  <sheetPr codeName="גיליון9" filterMode="1">
    <pageSetUpPr fitToPage="1"/>
  </sheetPr>
  <dimension ref="A1:BH72"/>
  <sheetViews>
    <sheetView rightToLeft="1" view="pageLayout" zoomScale="75" zoomScaleNormal="100" zoomScalePageLayoutView="75" workbookViewId="0">
      <selection activeCell="B10" sqref="B10"/>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198" t="s">
        <v>380</v>
      </c>
      <c r="B1" s="199"/>
      <c r="C1" s="199"/>
      <c r="D1" s="199"/>
      <c r="E1" s="200"/>
      <c r="F1" s="171"/>
      <c r="G1" s="172"/>
      <c r="H1" s="172"/>
      <c r="I1" s="173"/>
      <c r="J1" s="173"/>
      <c r="K1" s="174"/>
      <c r="M1" s="239" t="s">
        <v>338</v>
      </c>
      <c r="N1" s="240"/>
      <c r="O1" s="241"/>
    </row>
    <row r="2" spans="1:15" ht="4.5" customHeight="1" thickBot="1" x14ac:dyDescent="0.25">
      <c r="M2" s="281"/>
      <c r="N2" s="282"/>
      <c r="O2" s="283"/>
    </row>
    <row r="3" spans="1:15" ht="15.75" customHeight="1" thickBot="1" x14ac:dyDescent="0.3">
      <c r="A3" s="181" t="s">
        <v>0</v>
      </c>
      <c r="B3" s="182"/>
      <c r="C3" s="182"/>
      <c r="D3" s="181">
        <f>מבקר!G18</f>
        <v>0</v>
      </c>
      <c r="E3" s="182"/>
      <c r="F3" s="182"/>
      <c r="G3" s="182"/>
      <c r="H3" s="182"/>
      <c r="I3" s="182"/>
      <c r="J3" s="182"/>
      <c r="K3" s="183"/>
      <c r="M3" s="284"/>
      <c r="N3" s="285"/>
      <c r="O3" s="286"/>
    </row>
    <row r="4" spans="1:15" ht="3.75" customHeight="1" thickBot="1" x14ac:dyDescent="0.65">
      <c r="M4" s="140"/>
      <c r="N4" s="141"/>
      <c r="O4" s="142"/>
    </row>
    <row r="5" spans="1:15" ht="15.75" customHeight="1" thickBot="1" x14ac:dyDescent="0.3">
      <c r="A5" s="181" t="s">
        <v>1</v>
      </c>
      <c r="B5" s="182"/>
      <c r="C5" s="182"/>
      <c r="D5" s="181">
        <f>מבקר!G19</f>
        <v>0</v>
      </c>
      <c r="E5" s="182"/>
      <c r="F5" s="182"/>
      <c r="G5" s="182"/>
      <c r="H5" s="182"/>
      <c r="I5" s="182"/>
      <c r="J5" s="182"/>
      <c r="K5" s="183"/>
      <c r="M5" s="257" t="s">
        <v>381</v>
      </c>
      <c r="N5" s="258"/>
      <c r="O5" s="259"/>
    </row>
    <row r="6" spans="1:15" ht="3.75" customHeight="1" thickBot="1" x14ac:dyDescent="0.25">
      <c r="M6" s="260"/>
      <c r="N6" s="261"/>
      <c r="O6" s="262"/>
    </row>
    <row r="7" spans="1:15" ht="15.75" customHeight="1" thickBot="1" x14ac:dyDescent="0.3">
      <c r="A7" s="181" t="s">
        <v>2</v>
      </c>
      <c r="B7" s="183"/>
      <c r="C7" s="81">
        <f>מבקר!G20</f>
        <v>0</v>
      </c>
      <c r="D7" s="9"/>
      <c r="E7" s="181"/>
      <c r="F7" s="182"/>
      <c r="G7" s="182"/>
      <c r="H7" s="182"/>
      <c r="I7" s="182"/>
      <c r="J7" s="182"/>
      <c r="K7" s="183"/>
      <c r="M7" s="260"/>
      <c r="N7" s="261"/>
      <c r="O7" s="262"/>
    </row>
    <row r="8" spans="1:15" ht="3" customHeight="1" thickBot="1" x14ac:dyDescent="0.25">
      <c r="M8" s="281"/>
      <c r="N8" s="282"/>
      <c r="O8" s="283"/>
    </row>
    <row r="9" spans="1:15" ht="14.45" customHeight="1" thickBot="1" x14ac:dyDescent="0.3">
      <c r="A9" s="182" t="s">
        <v>3</v>
      </c>
      <c r="B9" s="182"/>
      <c r="C9" s="181">
        <f>מבקר!G6</f>
        <v>0</v>
      </c>
      <c r="D9" s="182"/>
      <c r="E9" s="182"/>
      <c r="F9" s="182"/>
      <c r="G9" s="182"/>
      <c r="H9" s="182"/>
      <c r="I9" s="182"/>
      <c r="J9" s="182"/>
      <c r="K9" s="183"/>
      <c r="M9" s="284"/>
      <c r="N9" s="285"/>
      <c r="O9" s="286"/>
    </row>
    <row r="10" spans="1:15" ht="3" customHeight="1" thickBot="1" x14ac:dyDescent="0.65">
      <c r="M10" s="140"/>
      <c r="N10" s="141"/>
      <c r="O10" s="141"/>
    </row>
    <row r="11" spans="1:15" ht="14.45" customHeight="1" thickBot="1" x14ac:dyDescent="0.3">
      <c r="A11" s="11" t="s">
        <v>4</v>
      </c>
      <c r="B11" s="188">
        <f>מבקר!G4</f>
        <v>0</v>
      </c>
      <c r="C11" s="189"/>
      <c r="D11" s="189"/>
      <c r="E11" s="221"/>
      <c r="G11" s="181" t="s">
        <v>6</v>
      </c>
      <c r="H11" s="182"/>
      <c r="I11" s="182"/>
      <c r="J11" s="188">
        <f>'דוח ביקורת'!J11</f>
        <v>0</v>
      </c>
      <c r="K11" s="221"/>
      <c r="M11" s="254" t="s">
        <v>387</v>
      </c>
      <c r="N11" s="255"/>
      <c r="O11" s="256"/>
    </row>
    <row r="12" spans="1:15" ht="3" customHeight="1" thickBot="1" x14ac:dyDescent="0.25">
      <c r="J12" s="10"/>
      <c r="M12" s="263" t="s">
        <v>388</v>
      </c>
      <c r="N12" s="265"/>
      <c r="O12" s="263" t="s">
        <v>389</v>
      </c>
    </row>
    <row r="13" spans="1:15" ht="14.45" customHeight="1" thickBot="1" x14ac:dyDescent="0.3">
      <c r="A13" s="181" t="s">
        <v>5</v>
      </c>
      <c r="B13" s="183"/>
      <c r="C13" s="181">
        <f>מבקר!G12</f>
        <v>0</v>
      </c>
      <c r="D13" s="182"/>
      <c r="E13" s="183"/>
      <c r="G13" s="181" t="s">
        <v>7</v>
      </c>
      <c r="H13" s="182"/>
      <c r="I13" s="182"/>
      <c r="J13" s="188">
        <f>מבקר!G14</f>
        <v>0</v>
      </c>
      <c r="K13" s="221"/>
      <c r="M13" s="264"/>
      <c r="N13" s="265"/>
      <c r="O13" s="264"/>
    </row>
    <row r="14" spans="1:15" ht="3" customHeight="1" thickBot="1" x14ac:dyDescent="0.25">
      <c r="M14" s="264"/>
      <c r="N14" s="265"/>
      <c r="O14" s="264"/>
    </row>
    <row r="15" spans="1:15" ht="15.75" thickBot="1" x14ac:dyDescent="0.3">
      <c r="A15" s="181" t="s">
        <v>25</v>
      </c>
      <c r="B15" s="183"/>
      <c r="C15" s="178">
        <f>מבקר!G22</f>
        <v>0</v>
      </c>
      <c r="D15" s="180"/>
      <c r="F15" s="181" t="s">
        <v>26</v>
      </c>
      <c r="G15" s="182"/>
      <c r="H15" s="182"/>
      <c r="I15" s="178">
        <f>מבקר!G23</f>
        <v>0</v>
      </c>
      <c r="J15" s="179"/>
      <c r="K15" s="180"/>
      <c r="M15" s="143">
        <v>2</v>
      </c>
      <c r="N15" s="265"/>
      <c r="O15" s="143">
        <v>14</v>
      </c>
    </row>
    <row r="16" spans="1:15" ht="3" customHeight="1" thickBot="1" x14ac:dyDescent="0.3">
      <c r="A16" s="122"/>
      <c r="B16" s="122"/>
      <c r="C16" s="122"/>
      <c r="D16" s="122"/>
      <c r="M16" s="37"/>
    </row>
    <row r="17" spans="1:60" ht="15.75" thickBot="1" x14ac:dyDescent="0.3">
      <c r="A17" s="181" t="s">
        <v>94</v>
      </c>
      <c r="B17" s="183"/>
      <c r="C17" s="179"/>
      <c r="D17" s="179"/>
      <c r="E17" s="181" t="s">
        <v>96</v>
      </c>
      <c r="F17" s="183"/>
      <c r="G17" s="223">
        <f ca="1">TODAY()</f>
        <v>46149</v>
      </c>
      <c r="H17" s="224"/>
      <c r="I17" s="133" t="s">
        <v>95</v>
      </c>
      <c r="J17" s="178"/>
      <c r="K17" s="180"/>
    </row>
    <row r="19" spans="1:60" s="33" customFormat="1" ht="28.5" customHeight="1" x14ac:dyDescent="0.2">
      <c r="A19" s="144" t="s">
        <v>27</v>
      </c>
      <c r="B19" s="278" t="s">
        <v>28</v>
      </c>
      <c r="C19" s="278"/>
      <c r="D19" s="144" t="s">
        <v>29</v>
      </c>
      <c r="E19" s="167" t="s">
        <v>30</v>
      </c>
      <c r="F19" s="277" t="s">
        <v>34</v>
      </c>
      <c r="G19" s="277"/>
      <c r="H19" s="278" t="s">
        <v>31</v>
      </c>
      <c r="I19" s="278"/>
      <c r="J19" s="163" t="s">
        <v>412</v>
      </c>
      <c r="K19" s="4" t="s">
        <v>382</v>
      </c>
      <c r="L19" s="4" t="s">
        <v>383</v>
      </c>
      <c r="M19" s="4" t="s">
        <v>384</v>
      </c>
      <c r="N19" s="4" t="s">
        <v>385</v>
      </c>
      <c r="O19" s="4" t="s">
        <v>386</v>
      </c>
      <c r="P19" s="4" t="s">
        <v>390</v>
      </c>
      <c r="Q19" s="4" t="s">
        <v>391</v>
      </c>
      <c r="R19" s="4" t="s">
        <v>392</v>
      </c>
      <c r="S19" s="4" t="s">
        <v>401</v>
      </c>
      <c r="T19" s="4" t="s">
        <v>402</v>
      </c>
      <c r="U19" s="4" t="s">
        <v>403</v>
      </c>
      <c r="V19" s="4" t="s">
        <v>404</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4"/>
      <c r="B20" s="165"/>
      <c r="C20" s="166"/>
      <c r="D20" s="26"/>
      <c r="E20" s="27"/>
      <c r="F20" s="28"/>
      <c r="G20" s="29"/>
      <c r="H20" s="30"/>
      <c r="I20" s="26"/>
      <c r="J20" s="144"/>
      <c r="K20" s="4"/>
      <c r="L20" s="4"/>
      <c r="M20" s="4"/>
      <c r="N20" s="4"/>
      <c r="O20" s="4"/>
      <c r="P20" s="4"/>
      <c r="Q20" s="4"/>
      <c r="R20" s="4"/>
      <c r="S20" s="4"/>
      <c r="T20" s="4"/>
      <c r="U20" s="4"/>
      <c r="V20" s="4"/>
      <c r="W20" s="4"/>
      <c r="X20" s="4"/>
    </row>
    <row r="21" spans="1:60" x14ac:dyDescent="0.2">
      <c r="A21" s="162">
        <v>1</v>
      </c>
      <c r="B21" s="280"/>
      <c r="C21" s="280"/>
      <c r="D21" s="168"/>
      <c r="E21" s="168"/>
      <c r="F21" s="279">
        <f>VLOOKUP(A21,'דוח ביקורת'!$A$23:$I$101,6,FALSE)</f>
        <v>0</v>
      </c>
      <c r="G21" s="279"/>
      <c r="H21" s="279">
        <f>VLOOKUP(A21,'דוח ביקורת'!$A$23:$I$101,8,FALSE)</f>
        <v>0</v>
      </c>
      <c r="I21" s="279"/>
      <c r="J21" s="164" t="s">
        <v>417</v>
      </c>
      <c r="K21" s="4"/>
      <c r="L21" s="4"/>
      <c r="M21" s="4"/>
      <c r="N21" s="4"/>
      <c r="O21" s="4"/>
      <c r="P21" s="4"/>
      <c r="Q21" s="4"/>
      <c r="R21" s="4"/>
      <c r="S21" s="4"/>
      <c r="T21" s="4"/>
      <c r="U21" s="4"/>
      <c r="V21" s="4"/>
    </row>
    <row r="22" spans="1:60" x14ac:dyDescent="0.2">
      <c r="A22" s="162">
        <v>2</v>
      </c>
      <c r="B22" s="280"/>
      <c r="C22" s="280"/>
      <c r="D22" s="168"/>
      <c r="E22" s="168">
        <f>VLOOKUP(A22,'דוח ביקורת'!$A$23:$I$101,5,FALSE)</f>
        <v>0</v>
      </c>
      <c r="F22" s="279">
        <f>VLOOKUP(A22,'דוח ביקורת'!$A$23:$I$101,6,FALSE)</f>
        <v>0</v>
      </c>
      <c r="G22" s="279"/>
      <c r="H22" s="279">
        <f>VLOOKUP(A22,'דוח ביקורת'!$A$23:$I$101,8,FALSE)</f>
        <v>0</v>
      </c>
      <c r="I22" s="279"/>
      <c r="J22" s="163"/>
      <c r="K22" s="4"/>
      <c r="L22" s="4"/>
      <c r="M22" s="4"/>
      <c r="N22" s="4"/>
      <c r="O22" s="4"/>
      <c r="P22" s="4"/>
      <c r="Q22" s="4"/>
      <c r="R22" s="4"/>
      <c r="S22" s="4"/>
      <c r="T22" s="4"/>
      <c r="U22" s="4"/>
      <c r="V22" s="4"/>
    </row>
    <row r="23" spans="1:60" x14ac:dyDescent="0.2">
      <c r="A23" s="135"/>
      <c r="B23" s="266"/>
      <c r="C23" s="267"/>
      <c r="D23" s="134"/>
      <c r="E23" s="134"/>
      <c r="F23" s="268"/>
      <c r="G23" s="269"/>
      <c r="H23" s="268"/>
      <c r="I23" s="270"/>
      <c r="J23" s="4"/>
      <c r="K23" s="4"/>
      <c r="L23" s="4"/>
      <c r="M23" s="4"/>
      <c r="N23" s="4"/>
      <c r="O23" s="4"/>
      <c r="P23" s="4"/>
      <c r="Q23" s="4"/>
      <c r="R23" s="4"/>
      <c r="S23" s="4"/>
      <c r="T23" s="4"/>
      <c r="U23" s="4"/>
      <c r="V23" s="4"/>
    </row>
    <row r="24" spans="1:60" x14ac:dyDescent="0.2">
      <c r="A24" s="135"/>
      <c r="B24" s="266"/>
      <c r="C24" s="267"/>
      <c r="D24" s="134"/>
      <c r="E24" s="134"/>
      <c r="F24" s="268"/>
      <c r="G24" s="269"/>
      <c r="H24" s="268"/>
      <c r="I24" s="270"/>
      <c r="J24" s="4"/>
      <c r="K24" s="4"/>
      <c r="L24" s="4"/>
      <c r="M24" s="4"/>
      <c r="N24" s="4"/>
      <c r="O24" s="4"/>
      <c r="P24" s="4"/>
      <c r="Q24" s="4"/>
      <c r="R24" s="4"/>
      <c r="S24" s="4"/>
      <c r="T24" s="4"/>
      <c r="U24" s="4"/>
      <c r="V24" s="4"/>
    </row>
    <row r="25" spans="1:60" x14ac:dyDescent="0.2">
      <c r="A25" s="135"/>
      <c r="B25" s="266"/>
      <c r="C25" s="267"/>
      <c r="D25" s="134"/>
      <c r="E25" s="134"/>
      <c r="F25" s="268"/>
      <c r="G25" s="269"/>
      <c r="H25" s="268"/>
      <c r="I25" s="270"/>
      <c r="J25" s="4"/>
      <c r="K25" s="4"/>
      <c r="L25" s="4"/>
      <c r="M25" s="4"/>
      <c r="N25" s="4"/>
      <c r="O25" s="4"/>
      <c r="P25" s="4"/>
      <c r="Q25" s="4"/>
      <c r="R25" s="4"/>
      <c r="S25" s="4"/>
      <c r="T25" s="4"/>
      <c r="U25" s="4"/>
      <c r="V25" s="4"/>
    </row>
    <row r="26" spans="1:60" x14ac:dyDescent="0.2">
      <c r="A26" s="136"/>
      <c r="B26" s="266"/>
      <c r="C26" s="267"/>
      <c r="D26" s="134"/>
      <c r="E26" s="134"/>
      <c r="F26" s="268"/>
      <c r="G26" s="269"/>
      <c r="H26" s="268"/>
      <c r="I26" s="270"/>
      <c r="J26" s="4"/>
      <c r="K26" s="4"/>
      <c r="L26" s="4"/>
      <c r="M26" s="4"/>
      <c r="N26" s="4"/>
      <c r="O26" s="4"/>
      <c r="P26" s="4"/>
      <c r="Q26" s="4"/>
      <c r="R26" s="4"/>
      <c r="S26" s="4"/>
      <c r="T26" s="4"/>
      <c r="U26" s="4"/>
      <c r="V26" s="4"/>
    </row>
    <row r="27" spans="1:60" x14ac:dyDescent="0.2">
      <c r="A27" s="135"/>
      <c r="B27" s="266"/>
      <c r="C27" s="267"/>
      <c r="D27" s="134"/>
      <c r="E27" s="134"/>
      <c r="F27" s="268"/>
      <c r="G27" s="269"/>
      <c r="H27" s="268"/>
      <c r="I27" s="270"/>
      <c r="J27" s="4"/>
      <c r="K27" s="4"/>
      <c r="L27" s="4"/>
      <c r="M27" s="4"/>
      <c r="N27" s="4"/>
      <c r="O27" s="4"/>
      <c r="P27" s="4"/>
      <c r="Q27" s="4"/>
      <c r="R27" s="4"/>
      <c r="S27" s="4"/>
      <c r="T27" s="4"/>
      <c r="U27" s="4"/>
      <c r="V27" s="4"/>
    </row>
    <row r="28" spans="1:60" x14ac:dyDescent="0.2">
      <c r="A28" s="135"/>
      <c r="B28" s="266"/>
      <c r="C28" s="267"/>
      <c r="D28" s="134"/>
      <c r="E28" s="134"/>
      <c r="F28" s="268"/>
      <c r="G28" s="269"/>
      <c r="H28" s="268"/>
      <c r="I28" s="270"/>
      <c r="J28" s="4"/>
      <c r="K28" s="4"/>
      <c r="L28" s="4"/>
      <c r="M28" s="4"/>
      <c r="N28" s="4"/>
      <c r="O28" s="4"/>
      <c r="P28" s="4"/>
      <c r="Q28" s="4"/>
      <c r="R28" s="4"/>
      <c r="S28" s="4"/>
      <c r="T28" s="4"/>
      <c r="U28" s="4"/>
      <c r="V28" s="4"/>
    </row>
    <row r="29" spans="1:60" x14ac:dyDescent="0.2">
      <c r="A29" s="135"/>
      <c r="B29" s="266"/>
      <c r="C29" s="267"/>
      <c r="D29" s="134"/>
      <c r="E29" s="134"/>
      <c r="F29" s="268"/>
      <c r="G29" s="269"/>
      <c r="H29" s="268"/>
      <c r="I29" s="270"/>
      <c r="J29" s="4"/>
      <c r="K29" s="4"/>
      <c r="L29" s="4"/>
      <c r="M29" s="4"/>
      <c r="N29" s="4"/>
      <c r="O29" s="4"/>
      <c r="P29" s="4"/>
      <c r="Q29" s="4"/>
      <c r="R29" s="4"/>
      <c r="S29" s="4"/>
      <c r="T29" s="4"/>
      <c r="U29" s="4"/>
      <c r="V29" s="4"/>
    </row>
    <row r="30" spans="1:60" x14ac:dyDescent="0.2">
      <c r="A30" s="136"/>
      <c r="B30" s="266"/>
      <c r="C30" s="267"/>
      <c r="D30" s="134"/>
      <c r="E30" s="134"/>
      <c r="F30" s="268"/>
      <c r="G30" s="269"/>
      <c r="H30" s="268"/>
      <c r="I30" s="270"/>
      <c r="J30" s="4"/>
      <c r="K30" s="4"/>
      <c r="L30" s="4"/>
      <c r="M30" s="4"/>
      <c r="N30" s="4"/>
      <c r="O30" s="4"/>
      <c r="P30" s="4"/>
      <c r="Q30" s="4"/>
      <c r="R30" s="4"/>
      <c r="S30" s="4"/>
      <c r="T30" s="4"/>
      <c r="U30" s="4"/>
      <c r="V30" s="4"/>
    </row>
    <row r="31" spans="1:60" x14ac:dyDescent="0.2">
      <c r="A31" s="135"/>
      <c r="B31" s="266"/>
      <c r="C31" s="267"/>
      <c r="D31" s="134"/>
      <c r="E31" s="134"/>
      <c r="F31" s="268"/>
      <c r="G31" s="269"/>
      <c r="H31" s="268"/>
      <c r="I31" s="270"/>
      <c r="J31" s="4"/>
      <c r="K31" s="4"/>
      <c r="L31" s="4"/>
      <c r="M31" s="4"/>
      <c r="N31" s="4"/>
      <c r="O31" s="4"/>
      <c r="P31" s="4"/>
      <c r="Q31" s="4"/>
      <c r="R31" s="4"/>
      <c r="S31" s="4"/>
      <c r="T31" s="4"/>
      <c r="U31" s="4"/>
      <c r="V31" s="4"/>
    </row>
    <row r="32" spans="1:60" x14ac:dyDescent="0.2">
      <c r="A32" s="135"/>
      <c r="B32" s="266"/>
      <c r="C32" s="267"/>
      <c r="D32" s="134"/>
      <c r="E32" s="134"/>
      <c r="F32" s="268"/>
      <c r="G32" s="269"/>
      <c r="H32" s="268"/>
      <c r="I32" s="270"/>
      <c r="J32" s="4"/>
      <c r="K32" s="4"/>
      <c r="L32" s="4"/>
      <c r="M32" s="4"/>
      <c r="N32" s="4"/>
      <c r="O32" s="4"/>
      <c r="P32" s="4"/>
      <c r="Q32" s="4"/>
      <c r="R32" s="4"/>
      <c r="S32" s="4"/>
      <c r="T32" s="4"/>
      <c r="U32" s="4"/>
      <c r="V32" s="4"/>
    </row>
    <row r="33" spans="1:22" x14ac:dyDescent="0.2">
      <c r="A33" s="136"/>
      <c r="B33" s="266"/>
      <c r="C33" s="267"/>
      <c r="D33" s="134"/>
      <c r="E33" s="134"/>
      <c r="F33" s="268"/>
      <c r="G33" s="269"/>
      <c r="H33" s="268"/>
      <c r="I33" s="270"/>
      <c r="J33" s="4"/>
      <c r="K33" s="4"/>
      <c r="L33" s="4"/>
      <c r="M33" s="4"/>
      <c r="N33" s="4"/>
      <c r="O33" s="4"/>
      <c r="P33" s="4"/>
      <c r="Q33" s="4"/>
      <c r="R33" s="4"/>
      <c r="S33" s="4"/>
      <c r="T33" s="4"/>
      <c r="U33" s="4"/>
      <c r="V33" s="4"/>
    </row>
    <row r="34" spans="1:22" x14ac:dyDescent="0.2">
      <c r="A34" s="136"/>
      <c r="B34" s="266"/>
      <c r="C34" s="267"/>
      <c r="D34" s="134"/>
      <c r="E34" s="134"/>
      <c r="F34" s="268"/>
      <c r="G34" s="269"/>
      <c r="H34" s="268"/>
      <c r="I34" s="270"/>
      <c r="J34" s="4"/>
      <c r="K34" s="4"/>
      <c r="L34" s="4"/>
      <c r="M34" s="4"/>
      <c r="N34" s="4"/>
      <c r="O34" s="4"/>
      <c r="P34" s="4"/>
      <c r="Q34" s="4"/>
      <c r="R34" s="4"/>
      <c r="S34" s="4"/>
      <c r="T34" s="4"/>
      <c r="U34" s="4"/>
      <c r="V34" s="4"/>
    </row>
    <row r="35" spans="1:22" x14ac:dyDescent="0.2">
      <c r="A35" s="136"/>
      <c r="B35" s="266"/>
      <c r="C35" s="267"/>
      <c r="D35" s="134"/>
      <c r="E35" s="134"/>
      <c r="F35" s="268"/>
      <c r="G35" s="269"/>
      <c r="H35" s="268"/>
      <c r="I35" s="270"/>
      <c r="J35" s="4"/>
      <c r="K35" s="4"/>
      <c r="L35" s="4"/>
      <c r="M35" s="4"/>
      <c r="N35" s="4"/>
      <c r="O35" s="4"/>
      <c r="P35" s="4"/>
      <c r="Q35" s="4"/>
      <c r="R35" s="4"/>
      <c r="S35" s="4"/>
      <c r="T35" s="4"/>
      <c r="U35" s="4"/>
      <c r="V35" s="4"/>
    </row>
    <row r="36" spans="1:22" x14ac:dyDescent="0.2">
      <c r="A36" s="136"/>
      <c r="B36" s="266"/>
      <c r="C36" s="267"/>
      <c r="D36" s="134"/>
      <c r="E36" s="134"/>
      <c r="F36" s="268"/>
      <c r="G36" s="269"/>
      <c r="H36" s="268"/>
      <c r="I36" s="270"/>
      <c r="J36" s="4"/>
      <c r="K36" s="4"/>
      <c r="L36" s="4"/>
      <c r="M36" s="4"/>
      <c r="N36" s="4"/>
      <c r="O36" s="4"/>
      <c r="P36" s="4"/>
      <c r="Q36" s="4"/>
      <c r="R36" s="4"/>
      <c r="S36" s="4"/>
      <c r="T36" s="4"/>
      <c r="U36" s="4"/>
      <c r="V36" s="4"/>
    </row>
    <row r="37" spans="1:22" x14ac:dyDescent="0.2">
      <c r="A37" s="136"/>
      <c r="B37" s="266"/>
      <c r="C37" s="267"/>
      <c r="D37" s="134"/>
      <c r="E37" s="134"/>
      <c r="F37" s="268"/>
      <c r="G37" s="269"/>
      <c r="H37" s="268"/>
      <c r="I37" s="270"/>
      <c r="J37" s="4"/>
      <c r="K37" s="4"/>
      <c r="L37" s="4"/>
      <c r="M37" s="4"/>
      <c r="N37" s="4"/>
      <c r="O37" s="4"/>
      <c r="P37" s="4"/>
      <c r="Q37" s="4"/>
      <c r="R37" s="4"/>
      <c r="S37" s="4"/>
      <c r="T37" s="4"/>
      <c r="U37" s="4"/>
      <c r="V37" s="4"/>
    </row>
    <row r="38" spans="1:22" x14ac:dyDescent="0.2">
      <c r="A38" s="136"/>
      <c r="B38" s="266"/>
      <c r="C38" s="267"/>
      <c r="D38" s="134"/>
      <c r="E38" s="134"/>
      <c r="F38" s="268"/>
      <c r="G38" s="269"/>
      <c r="H38" s="268"/>
      <c r="I38" s="270"/>
      <c r="J38" s="4"/>
      <c r="K38" s="4"/>
      <c r="L38" s="4"/>
      <c r="M38" s="4"/>
      <c r="N38" s="4"/>
      <c r="O38" s="4"/>
      <c r="P38" s="4"/>
      <c r="Q38" s="4"/>
      <c r="R38" s="4"/>
      <c r="S38" s="4"/>
      <c r="T38" s="4"/>
      <c r="U38" s="4"/>
      <c r="V38" s="4"/>
    </row>
    <row r="39" spans="1:22" x14ac:dyDescent="0.2">
      <c r="A39" s="136"/>
      <c r="B39" s="266"/>
      <c r="C39" s="267"/>
      <c r="D39" s="134"/>
      <c r="E39" s="134"/>
      <c r="F39" s="268"/>
      <c r="G39" s="269"/>
      <c r="H39" s="268"/>
      <c r="I39" s="270"/>
      <c r="J39" s="4"/>
      <c r="K39" s="4"/>
      <c r="L39" s="4"/>
      <c r="M39" s="4"/>
      <c r="N39" s="4"/>
      <c r="O39" s="4"/>
      <c r="P39" s="4"/>
      <c r="Q39" s="4"/>
      <c r="R39" s="4"/>
      <c r="S39" s="4"/>
      <c r="T39" s="4"/>
      <c r="U39" s="4"/>
      <c r="V39" s="4"/>
    </row>
    <row r="40" spans="1:22" x14ac:dyDescent="0.2">
      <c r="A40" s="136"/>
      <c r="B40" s="266"/>
      <c r="C40" s="267"/>
      <c r="D40" s="134"/>
      <c r="E40" s="134"/>
      <c r="F40" s="268"/>
      <c r="G40" s="269"/>
      <c r="H40" s="268"/>
      <c r="I40" s="270"/>
      <c r="J40" s="4"/>
      <c r="K40" s="4"/>
      <c r="L40" s="4"/>
      <c r="M40" s="4"/>
      <c r="N40" s="4"/>
      <c r="O40" s="4"/>
      <c r="P40" s="4"/>
      <c r="Q40" s="4"/>
      <c r="R40" s="4"/>
      <c r="S40" s="4"/>
      <c r="T40" s="4"/>
      <c r="U40" s="4"/>
      <c r="V40" s="4"/>
    </row>
    <row r="41" spans="1:22" x14ac:dyDescent="0.2">
      <c r="A41" s="136"/>
      <c r="B41" s="266"/>
      <c r="C41" s="267"/>
      <c r="D41" s="134"/>
      <c r="E41" s="134"/>
      <c r="F41" s="268"/>
      <c r="G41" s="269"/>
      <c r="H41" s="268"/>
      <c r="I41" s="270"/>
      <c r="J41" s="4"/>
      <c r="K41" s="4"/>
      <c r="L41" s="4"/>
      <c r="M41" s="4"/>
      <c r="N41" s="4"/>
      <c r="O41" s="4"/>
      <c r="P41" s="4"/>
      <c r="Q41" s="4"/>
      <c r="R41" s="4"/>
      <c r="S41" s="4"/>
      <c r="T41" s="4"/>
      <c r="U41" s="4"/>
      <c r="V41" s="4"/>
    </row>
    <row r="42" spans="1:22" x14ac:dyDescent="0.2">
      <c r="A42" s="136"/>
      <c r="B42" s="266"/>
      <c r="C42" s="267"/>
      <c r="D42" s="134"/>
      <c r="E42" s="134"/>
      <c r="F42" s="268"/>
      <c r="G42" s="269"/>
      <c r="H42" s="268"/>
      <c r="I42" s="270"/>
      <c r="J42" s="4"/>
      <c r="K42" s="4"/>
      <c r="L42" s="4"/>
      <c r="M42" s="4"/>
      <c r="N42" s="4"/>
      <c r="O42" s="4"/>
      <c r="P42" s="4"/>
      <c r="Q42" s="4"/>
      <c r="R42" s="4"/>
      <c r="S42" s="4"/>
      <c r="T42" s="4"/>
      <c r="U42" s="4"/>
      <c r="V42" s="4"/>
    </row>
    <row r="43" spans="1:22" x14ac:dyDescent="0.2">
      <c r="A43" s="136"/>
      <c r="B43" s="266"/>
      <c r="C43" s="267"/>
      <c r="D43" s="134"/>
      <c r="E43" s="134"/>
      <c r="F43" s="268"/>
      <c r="G43" s="269"/>
      <c r="H43" s="268"/>
      <c r="I43" s="270"/>
      <c r="J43" s="4"/>
      <c r="K43" s="4"/>
      <c r="L43" s="4"/>
      <c r="M43" s="4"/>
      <c r="N43" s="4"/>
      <c r="O43" s="4"/>
      <c r="P43" s="4"/>
      <c r="Q43" s="4"/>
      <c r="R43" s="4"/>
      <c r="S43" s="4"/>
      <c r="T43" s="4"/>
      <c r="U43" s="4"/>
      <c r="V43" s="4"/>
    </row>
    <row r="44" spans="1:22" x14ac:dyDescent="0.2">
      <c r="A44" s="136"/>
      <c r="B44" s="266" t="e">
        <f>VLOOKUP(A44,'דוח ביקורת'!$A$23:$I$101,2,FALSE)</f>
        <v>#N/A</v>
      </c>
      <c r="C44" s="267"/>
      <c r="D44" s="134" t="e">
        <f>VLOOKUP(A44,'דוח ביקורת'!$A$23:$I$101,4,FALSE)</f>
        <v>#N/A</v>
      </c>
      <c r="E44" s="134" t="e">
        <f>VLOOKUP(A44,'דוח ביקורת'!$A$23:$I$101,5,FALSE)</f>
        <v>#N/A</v>
      </c>
      <c r="F44" s="268" t="e">
        <f>VLOOKUP(A44,'דוח ביקורת'!$A$23:$I$101,6,FALSE)</f>
        <v>#N/A</v>
      </c>
      <c r="G44" s="269"/>
      <c r="H44" s="268" t="e">
        <f>VLOOKUP(A44,'דוח ביקורת'!$A$23:$I$101,8,FALSE)</f>
        <v>#N/A</v>
      </c>
      <c r="I44" s="270"/>
      <c r="J44" s="4"/>
      <c r="K44" s="4"/>
      <c r="L44" s="4"/>
      <c r="M44" s="4"/>
      <c r="N44" s="4"/>
      <c r="O44" s="4"/>
      <c r="P44" s="4"/>
      <c r="Q44" s="4"/>
      <c r="R44" s="4"/>
      <c r="S44" s="4"/>
      <c r="T44" s="4"/>
      <c r="U44" s="4"/>
      <c r="V44" s="4"/>
    </row>
    <row r="45" spans="1:22" x14ac:dyDescent="0.2">
      <c r="A45" s="136"/>
      <c r="B45" s="266" t="e">
        <f>VLOOKUP(A45,'דוח ביקורת'!$A$23:$I$101,2,FALSE)</f>
        <v>#N/A</v>
      </c>
      <c r="C45" s="267"/>
      <c r="D45" s="134" t="e">
        <f>VLOOKUP(A45,'דוח ביקורת'!$A$23:$I$101,4,FALSE)</f>
        <v>#N/A</v>
      </c>
      <c r="E45" s="134" t="e">
        <f>VLOOKUP(A45,'דוח ביקורת'!$A$23:$I$101,5,FALSE)</f>
        <v>#N/A</v>
      </c>
      <c r="F45" s="268" t="e">
        <f>VLOOKUP(A45,'דוח ביקורת'!$A$23:$I$101,6,FALSE)</f>
        <v>#N/A</v>
      </c>
      <c r="G45" s="269"/>
      <c r="H45" s="268" t="e">
        <f>VLOOKUP(A45,'דוח ביקורת'!$A$23:$I$101,8,FALSE)</f>
        <v>#N/A</v>
      </c>
      <c r="I45" s="270"/>
      <c r="J45" s="4"/>
      <c r="K45" s="4"/>
      <c r="L45" s="4"/>
      <c r="M45" s="4"/>
      <c r="N45" s="4"/>
      <c r="O45" s="4"/>
      <c r="P45" s="4"/>
      <c r="Q45" s="4"/>
      <c r="R45" s="4"/>
      <c r="S45" s="4"/>
      <c r="T45" s="4"/>
      <c r="U45" s="4"/>
      <c r="V45" s="4"/>
    </row>
    <row r="46" spans="1:22" x14ac:dyDescent="0.2">
      <c r="A46" s="136"/>
      <c r="B46" s="266" t="e">
        <f>VLOOKUP(A46,'דוח ביקורת'!$A$23:$I$101,2,FALSE)</f>
        <v>#N/A</v>
      </c>
      <c r="C46" s="267"/>
      <c r="D46" s="134" t="e">
        <f>VLOOKUP(A46,'דוח ביקורת'!$A$23:$I$101,4,FALSE)</f>
        <v>#N/A</v>
      </c>
      <c r="E46" s="134" t="e">
        <f>VLOOKUP(A46,'דוח ביקורת'!$A$23:$I$101,5,FALSE)</f>
        <v>#N/A</v>
      </c>
      <c r="F46" s="268" t="e">
        <f>VLOOKUP(A46,'דוח ביקורת'!$A$23:$I$101,6,FALSE)</f>
        <v>#N/A</v>
      </c>
      <c r="G46" s="269"/>
      <c r="H46" s="268" t="e">
        <f>VLOOKUP(A46,'דוח ביקורת'!$A$23:$I$101,8,FALSE)</f>
        <v>#N/A</v>
      </c>
      <c r="I46" s="270"/>
      <c r="J46" s="4"/>
      <c r="K46" s="4"/>
      <c r="L46" s="4"/>
      <c r="M46" s="4"/>
      <c r="N46" s="4"/>
      <c r="O46" s="4"/>
      <c r="P46" s="4"/>
      <c r="Q46" s="4"/>
      <c r="R46" s="4"/>
      <c r="S46" s="4"/>
      <c r="T46" s="4"/>
      <c r="U46" s="4"/>
      <c r="V46" s="4"/>
    </row>
    <row r="47" spans="1:22" x14ac:dyDescent="0.2">
      <c r="A47" s="136"/>
      <c r="B47" s="266" t="e">
        <f>VLOOKUP(A47,'דוח ביקורת'!$A$23:$I$101,2,FALSE)</f>
        <v>#N/A</v>
      </c>
      <c r="C47" s="267"/>
      <c r="D47" s="134" t="e">
        <f>VLOOKUP(A47,'דוח ביקורת'!$A$23:$I$101,4,FALSE)</f>
        <v>#N/A</v>
      </c>
      <c r="E47" s="134" t="e">
        <f>VLOOKUP(A47,'דוח ביקורת'!$A$23:$I$101,5,FALSE)</f>
        <v>#N/A</v>
      </c>
      <c r="F47" s="268" t="e">
        <f>VLOOKUP(A47,'דוח ביקורת'!$A$23:$I$101,6,FALSE)</f>
        <v>#N/A</v>
      </c>
      <c r="G47" s="269"/>
      <c r="H47" s="268" t="e">
        <f>VLOOKUP(A47,'דוח ביקורת'!$A$23:$I$101,8,FALSE)</f>
        <v>#N/A</v>
      </c>
      <c r="I47" s="270"/>
      <c r="J47" s="4"/>
      <c r="K47" s="4"/>
      <c r="L47" s="4"/>
      <c r="M47" s="4"/>
      <c r="N47" s="4"/>
      <c r="O47" s="4"/>
      <c r="P47" s="4"/>
      <c r="Q47" s="4"/>
      <c r="R47" s="4"/>
      <c r="S47" s="4"/>
      <c r="T47" s="4"/>
      <c r="U47" s="4"/>
      <c r="V47" s="4"/>
    </row>
    <row r="48" spans="1:22" x14ac:dyDescent="0.2">
      <c r="A48" s="136"/>
      <c r="B48" s="266" t="e">
        <f>VLOOKUP(A48,'דוח ביקורת'!$A$23:$I$101,2,FALSE)</f>
        <v>#N/A</v>
      </c>
      <c r="C48" s="267"/>
      <c r="D48" s="134" t="e">
        <f>VLOOKUP(A48,'דוח ביקורת'!$A$23:$I$101,4,FALSE)</f>
        <v>#N/A</v>
      </c>
      <c r="E48" s="134" t="e">
        <f>VLOOKUP(A48,'דוח ביקורת'!$A$23:$I$101,5,FALSE)</f>
        <v>#N/A</v>
      </c>
      <c r="F48" s="268" t="e">
        <f>VLOOKUP(A48,'דוח ביקורת'!$A$23:$I$101,6,FALSE)</f>
        <v>#N/A</v>
      </c>
      <c r="G48" s="269"/>
      <c r="H48" s="268" t="e">
        <f>VLOOKUP(A48,'דוח ביקורת'!$A$23:$I$101,8,FALSE)</f>
        <v>#N/A</v>
      </c>
      <c r="I48" s="270"/>
      <c r="J48" s="4"/>
      <c r="K48" s="4"/>
      <c r="L48" s="4"/>
      <c r="M48" s="4"/>
      <c r="N48" s="4"/>
      <c r="O48" s="4"/>
      <c r="P48" s="4"/>
      <c r="Q48" s="4"/>
      <c r="R48" s="4"/>
      <c r="S48" s="4"/>
      <c r="T48" s="4"/>
      <c r="U48" s="4"/>
      <c r="V48" s="4"/>
    </row>
    <row r="49" spans="1:22" x14ac:dyDescent="0.2">
      <c r="A49" s="136"/>
      <c r="B49" s="266" t="e">
        <f>VLOOKUP(A49,'דוח ביקורת'!$A$23:$I$101,2,FALSE)</f>
        <v>#N/A</v>
      </c>
      <c r="C49" s="267"/>
      <c r="D49" s="134" t="e">
        <f>VLOOKUP(A49,'דוח ביקורת'!$A$23:$I$101,4,FALSE)</f>
        <v>#N/A</v>
      </c>
      <c r="E49" s="134" t="e">
        <f>VLOOKUP(A49,'דוח ביקורת'!$A$23:$I$101,5,FALSE)</f>
        <v>#N/A</v>
      </c>
      <c r="F49" s="268" t="e">
        <f>VLOOKUP(A49,'דוח ביקורת'!$A$23:$I$101,6,FALSE)</f>
        <v>#N/A</v>
      </c>
      <c r="G49" s="269"/>
      <c r="H49" s="268" t="e">
        <f>VLOOKUP(A49,'דוח ביקורת'!$A$23:$I$101,8,FALSE)</f>
        <v>#N/A</v>
      </c>
      <c r="I49" s="270"/>
      <c r="J49" s="4"/>
      <c r="K49" s="4"/>
      <c r="L49" s="4"/>
      <c r="M49" s="4"/>
      <c r="N49" s="4"/>
      <c r="O49" s="4"/>
      <c r="P49" s="4"/>
      <c r="Q49" s="4"/>
      <c r="R49" s="4"/>
      <c r="S49" s="4"/>
      <c r="T49" s="4"/>
      <c r="U49" s="4"/>
      <c r="V49" s="4"/>
    </row>
    <row r="50" spans="1:22" x14ac:dyDescent="0.2">
      <c r="A50" s="136"/>
      <c r="B50" s="266" t="e">
        <f>VLOOKUP(A50,'דוח ביקורת'!$A$23:$I$101,2,FALSE)</f>
        <v>#N/A</v>
      </c>
      <c r="C50" s="267"/>
      <c r="D50" s="134" t="e">
        <f>VLOOKUP(A50,'דוח ביקורת'!$A$23:$I$101,4,FALSE)</f>
        <v>#N/A</v>
      </c>
      <c r="E50" s="134" t="e">
        <f>VLOOKUP(A50,'דוח ביקורת'!$A$23:$I$101,5,FALSE)</f>
        <v>#N/A</v>
      </c>
      <c r="F50" s="268" t="e">
        <f>VLOOKUP(A50,'דוח ביקורת'!$A$23:$I$101,6,FALSE)</f>
        <v>#N/A</v>
      </c>
      <c r="G50" s="269"/>
      <c r="H50" s="268" t="e">
        <f>VLOOKUP(A50,'דוח ביקורת'!$A$23:$I$101,8,FALSE)</f>
        <v>#N/A</v>
      </c>
      <c r="I50" s="270"/>
      <c r="J50" s="4"/>
      <c r="K50" s="4"/>
      <c r="L50" s="4"/>
      <c r="M50" s="4"/>
      <c r="N50" s="4"/>
      <c r="O50" s="4"/>
      <c r="P50" s="4"/>
      <c r="Q50" s="4"/>
      <c r="R50" s="4"/>
      <c r="S50" s="4"/>
      <c r="T50" s="4"/>
      <c r="U50" s="4"/>
      <c r="V50" s="4"/>
    </row>
    <row r="51" spans="1:22" x14ac:dyDescent="0.2">
      <c r="A51" s="136"/>
      <c r="B51" s="266" t="e">
        <f>VLOOKUP(A51,'דוח ביקורת'!$A$23:$I$101,2,FALSE)</f>
        <v>#N/A</v>
      </c>
      <c r="C51" s="267"/>
      <c r="D51" s="134" t="e">
        <f>VLOOKUP(A51,'דוח ביקורת'!$A$23:$I$101,4,FALSE)</f>
        <v>#N/A</v>
      </c>
      <c r="E51" s="134" t="e">
        <f>VLOOKUP(A51,'דוח ביקורת'!$A$23:$I$101,5,FALSE)</f>
        <v>#N/A</v>
      </c>
      <c r="F51" s="268" t="e">
        <f>VLOOKUP(A51,'דוח ביקורת'!$A$23:$I$101,6,FALSE)</f>
        <v>#N/A</v>
      </c>
      <c r="G51" s="269"/>
      <c r="H51" s="268" t="e">
        <f>VLOOKUP(A51,'דוח ביקורת'!$A$23:$I$101,8,FALSE)</f>
        <v>#N/A</v>
      </c>
      <c r="I51" s="270"/>
      <c r="J51" s="4"/>
      <c r="K51" s="4"/>
      <c r="L51" s="4"/>
      <c r="M51" s="4"/>
      <c r="N51" s="4"/>
      <c r="O51" s="4"/>
      <c r="P51" s="4"/>
      <c r="Q51" s="4"/>
      <c r="R51" s="4"/>
      <c r="S51" s="4"/>
      <c r="T51" s="4"/>
      <c r="U51" s="4"/>
      <c r="V51" s="4"/>
    </row>
    <row r="52" spans="1:22" x14ac:dyDescent="0.2">
      <c r="A52" s="136"/>
      <c r="B52" s="266" t="e">
        <f>VLOOKUP(A52,'דוח ביקורת'!$A$23:$I$101,2,FALSE)</f>
        <v>#N/A</v>
      </c>
      <c r="C52" s="267"/>
      <c r="D52" s="134" t="e">
        <f>VLOOKUP(A52,'דוח ביקורת'!$A$23:$I$101,4,FALSE)</f>
        <v>#N/A</v>
      </c>
      <c r="E52" s="134" t="e">
        <f>VLOOKUP(A52,'דוח ביקורת'!$A$23:$I$101,5,FALSE)</f>
        <v>#N/A</v>
      </c>
      <c r="F52" s="268" t="e">
        <f>VLOOKUP(A52,'דוח ביקורת'!$A$23:$I$101,6,FALSE)</f>
        <v>#N/A</v>
      </c>
      <c r="G52" s="269"/>
      <c r="H52" s="268" t="e">
        <f>VLOOKUP(A52,'דוח ביקורת'!$A$23:$I$101,8,FALSE)</f>
        <v>#N/A</v>
      </c>
      <c r="I52" s="270"/>
      <c r="J52" s="4"/>
      <c r="K52" s="4"/>
      <c r="L52" s="4"/>
      <c r="M52" s="4"/>
      <c r="N52" s="4"/>
      <c r="O52" s="4"/>
      <c r="P52" s="4"/>
      <c r="Q52" s="4"/>
      <c r="R52" s="4"/>
      <c r="S52" s="4"/>
      <c r="T52" s="4"/>
      <c r="U52" s="4"/>
      <c r="V52" s="4"/>
    </row>
    <row r="53" spans="1:22" x14ac:dyDescent="0.2">
      <c r="A53" s="136"/>
      <c r="B53" s="266" t="e">
        <f>VLOOKUP(A53,'דוח ביקורת'!$A$23:$I$101,2,FALSE)</f>
        <v>#N/A</v>
      </c>
      <c r="C53" s="267"/>
      <c r="D53" s="134" t="e">
        <f>VLOOKUP(A53,'דוח ביקורת'!$A$23:$I$101,4,FALSE)</f>
        <v>#N/A</v>
      </c>
      <c r="E53" s="134" t="e">
        <f>VLOOKUP(A53,'דוח ביקורת'!$A$23:$I$101,5,FALSE)</f>
        <v>#N/A</v>
      </c>
      <c r="F53" s="268" t="e">
        <f>VLOOKUP(A53,'דוח ביקורת'!$A$23:$I$101,6,FALSE)</f>
        <v>#N/A</v>
      </c>
      <c r="G53" s="269"/>
      <c r="H53" s="268" t="e">
        <f>VLOOKUP(A53,'דוח ביקורת'!$A$23:$I$101,8,FALSE)</f>
        <v>#N/A</v>
      </c>
      <c r="I53" s="270"/>
      <c r="J53" s="4"/>
      <c r="K53" s="4"/>
      <c r="L53" s="4"/>
      <c r="M53" s="4"/>
      <c r="N53" s="4"/>
      <c r="O53" s="4"/>
      <c r="P53" s="4"/>
      <c r="Q53" s="4"/>
      <c r="R53" s="4"/>
      <c r="S53" s="4"/>
      <c r="T53" s="4"/>
      <c r="U53" s="4"/>
      <c r="V53" s="4"/>
    </row>
    <row r="54" spans="1:22" x14ac:dyDescent="0.2">
      <c r="A54" s="136"/>
      <c r="B54" s="266" t="e">
        <f>VLOOKUP(A54,'דוח ביקורת'!$A$23:$I$101,2,FALSE)</f>
        <v>#N/A</v>
      </c>
      <c r="C54" s="267"/>
      <c r="D54" s="134" t="e">
        <f>VLOOKUP(A54,'דוח ביקורת'!$A$23:$I$101,4,FALSE)</f>
        <v>#N/A</v>
      </c>
      <c r="E54" s="134" t="e">
        <f>VLOOKUP(A54,'דוח ביקורת'!$A$23:$I$101,5,FALSE)</f>
        <v>#N/A</v>
      </c>
      <c r="F54" s="268" t="e">
        <f>VLOOKUP(A54,'דוח ביקורת'!$A$23:$I$101,6,FALSE)</f>
        <v>#N/A</v>
      </c>
      <c r="G54" s="269"/>
      <c r="H54" s="268" t="e">
        <f>VLOOKUP(A54,'דוח ביקורת'!$A$23:$I$101,8,FALSE)</f>
        <v>#N/A</v>
      </c>
      <c r="I54" s="270"/>
      <c r="J54" s="4"/>
      <c r="K54" s="4"/>
      <c r="L54" s="4"/>
      <c r="M54" s="4"/>
      <c r="N54" s="4"/>
      <c r="O54" s="4"/>
      <c r="P54" s="4"/>
      <c r="Q54" s="4"/>
      <c r="R54" s="4"/>
      <c r="S54" s="4"/>
      <c r="T54" s="4"/>
      <c r="U54" s="4"/>
      <c r="V54" s="4"/>
    </row>
    <row r="55" spans="1:22" x14ac:dyDescent="0.2">
      <c r="A55" s="136"/>
      <c r="B55" s="266" t="e">
        <f>VLOOKUP(A55,'דוח ביקורת'!$A$23:$I$101,2,FALSE)</f>
        <v>#N/A</v>
      </c>
      <c r="C55" s="267"/>
      <c r="D55" s="134" t="e">
        <f>VLOOKUP(A55,'דוח ביקורת'!$A$23:$I$101,4,FALSE)</f>
        <v>#N/A</v>
      </c>
      <c r="E55" s="134" t="e">
        <f>VLOOKUP(A55,'דוח ביקורת'!$A$23:$I$101,5,FALSE)</f>
        <v>#N/A</v>
      </c>
      <c r="F55" s="268" t="e">
        <f>VLOOKUP(A55,'דוח ביקורת'!$A$23:$I$101,6,FALSE)</f>
        <v>#N/A</v>
      </c>
      <c r="G55" s="269"/>
      <c r="H55" s="268" t="e">
        <f>VLOOKUP(A55,'דוח ביקורת'!$A$23:$I$101,8,FALSE)</f>
        <v>#N/A</v>
      </c>
      <c r="I55" s="270"/>
      <c r="J55" s="4"/>
      <c r="K55" s="4"/>
      <c r="L55" s="4"/>
      <c r="M55" s="4"/>
      <c r="N55" s="4"/>
      <c r="O55" s="4"/>
      <c r="P55" s="4"/>
      <c r="Q55" s="4"/>
      <c r="R55" s="4"/>
      <c r="S55" s="4"/>
      <c r="T55" s="4"/>
      <c r="U55" s="4"/>
      <c r="V55" s="4"/>
    </row>
    <row r="56" spans="1:22" x14ac:dyDescent="0.2">
      <c r="A56" s="136"/>
      <c r="B56" s="266" t="e">
        <f>VLOOKUP(A56,'דוח ביקורת'!$A$23:$I$101,2,FALSE)</f>
        <v>#N/A</v>
      </c>
      <c r="C56" s="267"/>
      <c r="D56" s="134" t="e">
        <f>VLOOKUP(A56,'דוח ביקורת'!$A$23:$I$101,4,FALSE)</f>
        <v>#N/A</v>
      </c>
      <c r="E56" s="134" t="e">
        <f>VLOOKUP(A56,'דוח ביקורת'!$A$23:$I$101,5,FALSE)</f>
        <v>#N/A</v>
      </c>
      <c r="F56" s="268" t="e">
        <f>VLOOKUP(A56,'דוח ביקורת'!$A$23:$I$101,6,FALSE)</f>
        <v>#N/A</v>
      </c>
      <c r="G56" s="269"/>
      <c r="H56" s="268" t="e">
        <f>VLOOKUP(A56,'דוח ביקורת'!$A$23:$I$101,8,FALSE)</f>
        <v>#N/A</v>
      </c>
      <c r="I56" s="270"/>
      <c r="J56" s="4"/>
      <c r="K56" s="4"/>
      <c r="L56" s="4"/>
      <c r="M56" s="4"/>
      <c r="N56" s="4"/>
      <c r="O56" s="4"/>
      <c r="P56" s="4"/>
      <c r="Q56" s="4"/>
      <c r="R56" s="4"/>
      <c r="S56" s="4"/>
      <c r="T56" s="4"/>
      <c r="U56" s="4"/>
      <c r="V56" s="4"/>
    </row>
    <row r="57" spans="1:22" x14ac:dyDescent="0.2">
      <c r="A57" s="136"/>
      <c r="B57" s="266" t="e">
        <f>VLOOKUP(A57,'דוח ביקורת'!$A$23:$I$101,2,FALSE)</f>
        <v>#N/A</v>
      </c>
      <c r="C57" s="267"/>
      <c r="D57" s="134" t="e">
        <f>VLOOKUP(A57,'דוח ביקורת'!$A$23:$I$101,4,FALSE)</f>
        <v>#N/A</v>
      </c>
      <c r="E57" s="134" t="e">
        <f>VLOOKUP(A57,'דוח ביקורת'!$A$23:$I$101,5,FALSE)</f>
        <v>#N/A</v>
      </c>
      <c r="F57" s="268" t="e">
        <f>VLOOKUP(A57,'דוח ביקורת'!$A$23:$I$101,6,FALSE)</f>
        <v>#N/A</v>
      </c>
      <c r="G57" s="269"/>
      <c r="H57" s="268" t="e">
        <f>VLOOKUP(A57,'דוח ביקורת'!$A$23:$I$101,8,FALSE)</f>
        <v>#N/A</v>
      </c>
      <c r="I57" s="270"/>
      <c r="J57" s="4"/>
      <c r="K57" s="4"/>
      <c r="L57" s="4"/>
      <c r="M57" s="4"/>
      <c r="N57" s="4"/>
      <c r="O57" s="4"/>
      <c r="P57" s="4"/>
      <c r="Q57" s="4"/>
      <c r="R57" s="4"/>
      <c r="S57" s="4"/>
      <c r="T57" s="4"/>
      <c r="U57" s="4"/>
      <c r="V57" s="4"/>
    </row>
    <row r="58" spans="1:22" x14ac:dyDescent="0.2">
      <c r="A58" s="136"/>
      <c r="B58" s="266" t="e">
        <f>VLOOKUP(A58,'דוח ביקורת'!$A$23:$I$101,2,FALSE)</f>
        <v>#N/A</v>
      </c>
      <c r="C58" s="267"/>
      <c r="D58" s="134" t="e">
        <f>VLOOKUP(A58,'דוח ביקורת'!$A$23:$I$101,4,FALSE)</f>
        <v>#N/A</v>
      </c>
      <c r="E58" s="134" t="e">
        <f>VLOOKUP(A58,'דוח ביקורת'!$A$23:$I$101,5,FALSE)</f>
        <v>#N/A</v>
      </c>
      <c r="F58" s="268" t="e">
        <f>VLOOKUP(A58,'דוח ביקורת'!$A$23:$I$101,6,FALSE)</f>
        <v>#N/A</v>
      </c>
      <c r="G58" s="269"/>
      <c r="H58" s="268" t="e">
        <f>VLOOKUP(A58,'דוח ביקורת'!$A$23:$I$101,8,FALSE)</f>
        <v>#N/A</v>
      </c>
      <c r="I58" s="270"/>
      <c r="J58" s="4"/>
      <c r="K58" s="4"/>
      <c r="L58" s="4"/>
      <c r="M58" s="4"/>
      <c r="N58" s="4"/>
      <c r="O58" s="4"/>
      <c r="P58" s="4"/>
      <c r="Q58" s="4"/>
      <c r="R58" s="4"/>
      <c r="S58" s="4"/>
      <c r="T58" s="4"/>
      <c r="U58" s="4"/>
      <c r="V58" s="4"/>
    </row>
    <row r="59" spans="1:22" x14ac:dyDescent="0.2">
      <c r="A59" s="136"/>
      <c r="B59" s="266" t="e">
        <f>VLOOKUP(A59,'דוח ביקורת'!$A$23:$I$101,2,FALSE)</f>
        <v>#N/A</v>
      </c>
      <c r="C59" s="267"/>
      <c r="D59" s="134" t="e">
        <f>VLOOKUP(A59,'דוח ביקורת'!$A$23:$I$101,4,FALSE)</f>
        <v>#N/A</v>
      </c>
      <c r="E59" s="134" t="e">
        <f>VLOOKUP(A59,'דוח ביקורת'!$A$23:$I$101,5,FALSE)</f>
        <v>#N/A</v>
      </c>
      <c r="F59" s="268" t="e">
        <f>VLOOKUP(A59,'דוח ביקורת'!$A$23:$I$101,6,FALSE)</f>
        <v>#N/A</v>
      </c>
      <c r="G59" s="269"/>
      <c r="H59" s="268" t="e">
        <f>VLOOKUP(A59,'דוח ביקורת'!$A$23:$I$101,8,FALSE)</f>
        <v>#N/A</v>
      </c>
      <c r="I59" s="270"/>
      <c r="J59" s="4"/>
      <c r="K59" s="4"/>
      <c r="L59" s="4"/>
      <c r="M59" s="4"/>
      <c r="N59" s="4"/>
      <c r="O59" s="4"/>
      <c r="P59" s="4"/>
      <c r="Q59" s="4"/>
      <c r="R59" s="4"/>
      <c r="S59" s="4"/>
      <c r="T59" s="4"/>
      <c r="U59" s="4"/>
      <c r="V59" s="4"/>
    </row>
    <row r="60" spans="1:22" x14ac:dyDescent="0.2">
      <c r="A60" s="136"/>
      <c r="B60" s="266" t="e">
        <f>VLOOKUP(A60,'דוח ביקורת'!$A$23:$I$101,2,FALSE)</f>
        <v>#N/A</v>
      </c>
      <c r="C60" s="267"/>
      <c r="D60" s="134" t="e">
        <f>VLOOKUP(A60,'דוח ביקורת'!$A$23:$I$101,4,FALSE)</f>
        <v>#N/A</v>
      </c>
      <c r="E60" s="134" t="e">
        <f>VLOOKUP(A60,'דוח ביקורת'!$A$23:$I$101,5,FALSE)</f>
        <v>#N/A</v>
      </c>
      <c r="F60" s="268" t="e">
        <f>VLOOKUP(A60,'דוח ביקורת'!$A$23:$I$101,6,FALSE)</f>
        <v>#N/A</v>
      </c>
      <c r="G60" s="269"/>
      <c r="H60" s="268" t="e">
        <f>VLOOKUP(A60,'דוח ביקורת'!$A$23:$I$101,8,FALSE)</f>
        <v>#N/A</v>
      </c>
      <c r="I60" s="270"/>
      <c r="J60" s="4"/>
      <c r="K60" s="4"/>
      <c r="L60" s="4"/>
      <c r="M60" s="4"/>
      <c r="N60" s="4"/>
      <c r="O60" s="4"/>
      <c r="P60" s="4"/>
      <c r="Q60" s="4"/>
      <c r="R60" s="4"/>
      <c r="S60" s="4"/>
      <c r="T60" s="4"/>
      <c r="U60" s="4"/>
      <c r="V60" s="4"/>
    </row>
    <row r="61" spans="1:22" x14ac:dyDescent="0.2">
      <c r="A61" s="136"/>
      <c r="B61" s="266" t="e">
        <f>VLOOKUP(A61,'דוח ביקורת'!$A$23:$I$101,2,FALSE)</f>
        <v>#N/A</v>
      </c>
      <c r="C61" s="267"/>
      <c r="D61" s="134" t="e">
        <f>VLOOKUP(A61,'דוח ביקורת'!$A$23:$I$101,4,FALSE)</f>
        <v>#N/A</v>
      </c>
      <c r="E61" s="134" t="e">
        <f>VLOOKUP(A61,'דוח ביקורת'!$A$23:$I$101,5,FALSE)</f>
        <v>#N/A</v>
      </c>
      <c r="F61" s="268" t="e">
        <f>VLOOKUP(A61,'דוח ביקורת'!$A$23:$I$101,6,FALSE)</f>
        <v>#N/A</v>
      </c>
      <c r="G61" s="269"/>
      <c r="H61" s="268" t="e">
        <f>VLOOKUP(A61,'דוח ביקורת'!$A$23:$I$101,8,FALSE)</f>
        <v>#N/A</v>
      </c>
      <c r="I61" s="270"/>
      <c r="J61" s="4"/>
      <c r="K61" s="4"/>
      <c r="L61" s="4"/>
      <c r="M61" s="4"/>
      <c r="N61" s="4"/>
      <c r="O61" s="4"/>
      <c r="P61" s="4"/>
      <c r="Q61" s="4"/>
      <c r="R61" s="4"/>
      <c r="S61" s="4"/>
      <c r="T61" s="4"/>
      <c r="U61" s="4"/>
      <c r="V61" s="4"/>
    </row>
    <row r="62" spans="1:22" x14ac:dyDescent="0.2">
      <c r="A62" s="136"/>
      <c r="B62" s="266" t="e">
        <f>VLOOKUP(A62,'דוח ביקורת'!$A$23:$I$101,2,FALSE)</f>
        <v>#N/A</v>
      </c>
      <c r="C62" s="267"/>
      <c r="D62" s="134" t="e">
        <f>VLOOKUP(A62,'דוח ביקורת'!$A$23:$I$101,4,FALSE)</f>
        <v>#N/A</v>
      </c>
      <c r="E62" s="134" t="e">
        <f>VLOOKUP(A62,'דוח ביקורת'!$A$23:$I$101,5,FALSE)</f>
        <v>#N/A</v>
      </c>
      <c r="F62" s="268" t="e">
        <f>VLOOKUP(A62,'דוח ביקורת'!$A$23:$I$101,6,FALSE)</f>
        <v>#N/A</v>
      </c>
      <c r="G62" s="269"/>
      <c r="H62" s="268" t="e">
        <f>VLOOKUP(A62,'דוח ביקורת'!$A$23:$I$101,8,FALSE)</f>
        <v>#N/A</v>
      </c>
      <c r="I62" s="270"/>
      <c r="J62" s="4"/>
      <c r="K62" s="4"/>
      <c r="L62" s="4"/>
      <c r="M62" s="4"/>
      <c r="N62" s="4"/>
      <c r="O62" s="4"/>
      <c r="P62" s="4"/>
      <c r="Q62" s="4"/>
      <c r="R62" s="4"/>
      <c r="S62" s="4"/>
      <c r="T62" s="4"/>
      <c r="U62" s="4"/>
      <c r="V62" s="4"/>
    </row>
    <row r="63" spans="1:22" x14ac:dyDescent="0.2">
      <c r="A63" s="136"/>
      <c r="B63" s="266" t="e">
        <f>VLOOKUP(A63,'דוח ביקורת'!$A$23:$I$101,2,FALSE)</f>
        <v>#N/A</v>
      </c>
      <c r="C63" s="267"/>
      <c r="D63" s="134" t="e">
        <f>VLOOKUP(A63,'דוח ביקורת'!$A$23:$I$101,4,FALSE)</f>
        <v>#N/A</v>
      </c>
      <c r="E63" s="134" t="e">
        <f>VLOOKUP(A63,'דוח ביקורת'!$A$23:$I$101,5,FALSE)</f>
        <v>#N/A</v>
      </c>
      <c r="F63" s="268" t="e">
        <f>VLOOKUP(A63,'דוח ביקורת'!$A$23:$I$101,6,FALSE)</f>
        <v>#N/A</v>
      </c>
      <c r="G63" s="269"/>
      <c r="H63" s="268" t="e">
        <f>VLOOKUP(A63,'דוח ביקורת'!$A$23:$I$101,8,FALSE)</f>
        <v>#N/A</v>
      </c>
      <c r="I63" s="270"/>
      <c r="J63" s="4"/>
      <c r="K63" s="4"/>
      <c r="L63" s="4"/>
      <c r="M63" s="4"/>
      <c r="N63" s="4"/>
      <c r="O63" s="4"/>
      <c r="P63" s="4"/>
      <c r="Q63" s="4"/>
      <c r="R63" s="4"/>
      <c r="S63" s="4"/>
      <c r="T63" s="4"/>
      <c r="U63" s="4"/>
      <c r="V63" s="4"/>
    </row>
    <row r="64" spans="1:22" x14ac:dyDescent="0.2">
      <c r="A64" s="136"/>
      <c r="B64" s="266" t="e">
        <f>VLOOKUP(A64,'דוח ביקורת'!$A$23:$I$101,2,FALSE)</f>
        <v>#N/A</v>
      </c>
      <c r="C64" s="267"/>
      <c r="D64" s="134" t="e">
        <f>VLOOKUP(A64,'דוח ביקורת'!$A$23:$I$101,4,FALSE)</f>
        <v>#N/A</v>
      </c>
      <c r="E64" s="134" t="e">
        <f>VLOOKUP(A64,'דוח ביקורת'!$A$23:$I$101,5,FALSE)</f>
        <v>#N/A</v>
      </c>
      <c r="F64" s="268" t="e">
        <f>VLOOKUP(A64,'דוח ביקורת'!$A$23:$I$101,6,FALSE)</f>
        <v>#N/A</v>
      </c>
      <c r="G64" s="269"/>
      <c r="H64" s="268" t="e">
        <f>VLOOKUP(A64,'דוח ביקורת'!$A$23:$I$101,8,FALSE)</f>
        <v>#N/A</v>
      </c>
      <c r="I64" s="270"/>
      <c r="J64" s="4"/>
      <c r="K64" s="4"/>
      <c r="L64" s="4"/>
      <c r="M64" s="4"/>
      <c r="N64" s="4"/>
      <c r="O64" s="4"/>
      <c r="P64" s="4"/>
      <c r="Q64" s="4"/>
      <c r="R64" s="4"/>
      <c r="S64" s="4"/>
      <c r="T64" s="4"/>
      <c r="U64" s="4"/>
      <c r="V64" s="4"/>
    </row>
    <row r="65" spans="1:22" x14ac:dyDescent="0.2">
      <c r="A65" s="136"/>
      <c r="B65" s="266" t="e">
        <f>VLOOKUP(A65,'דוח ביקורת'!$A$23:$I$101,2,FALSE)</f>
        <v>#N/A</v>
      </c>
      <c r="C65" s="267"/>
      <c r="D65" s="134" t="e">
        <f>VLOOKUP(A65,'דוח ביקורת'!$A$23:$I$101,4,FALSE)</f>
        <v>#N/A</v>
      </c>
      <c r="E65" s="134" t="e">
        <f>VLOOKUP(A65,'דוח ביקורת'!$A$23:$I$101,5,FALSE)</f>
        <v>#N/A</v>
      </c>
      <c r="F65" s="268" t="e">
        <f>VLOOKUP(A65,'דוח ביקורת'!$A$23:$I$101,6,FALSE)</f>
        <v>#N/A</v>
      </c>
      <c r="G65" s="269"/>
      <c r="H65" s="268" t="e">
        <f>VLOOKUP(A65,'דוח ביקורת'!$A$23:$I$101,8,FALSE)</f>
        <v>#N/A</v>
      </c>
      <c r="I65" s="270"/>
      <c r="J65" s="4"/>
      <c r="K65" s="4"/>
      <c r="L65" s="4"/>
      <c r="M65" s="4"/>
      <c r="N65" s="4"/>
      <c r="O65" s="4"/>
      <c r="P65" s="4"/>
      <c r="Q65" s="4"/>
      <c r="R65" s="4"/>
      <c r="S65" s="4"/>
      <c r="T65" s="4"/>
      <c r="U65" s="4"/>
      <c r="V65" s="4"/>
    </row>
    <row r="66" spans="1:22" x14ac:dyDescent="0.2">
      <c r="J66" s="4"/>
      <c r="K66" s="4"/>
      <c r="L66" s="4"/>
      <c r="M66" s="4"/>
      <c r="N66" s="4"/>
      <c r="O66" s="4"/>
      <c r="P66" s="4"/>
      <c r="Q66" s="4"/>
      <c r="R66" s="4"/>
      <c r="S66" s="4"/>
      <c r="T66" s="4"/>
      <c r="U66" s="4"/>
      <c r="V66" s="4"/>
    </row>
    <row r="67" spans="1:22" ht="15" x14ac:dyDescent="0.25">
      <c r="H67" s="273" t="s">
        <v>395</v>
      </c>
      <c r="I67" s="274"/>
      <c r="J67" s="4"/>
      <c r="K67" s="4"/>
      <c r="L67" s="4"/>
      <c r="M67" s="4"/>
      <c r="N67" s="4"/>
      <c r="O67" s="4"/>
      <c r="P67" s="4"/>
      <c r="Q67" s="4"/>
      <c r="R67" s="4"/>
      <c r="S67" s="4"/>
      <c r="T67" s="4"/>
      <c r="U67" s="4"/>
      <c r="V67" s="4"/>
    </row>
    <row r="68" spans="1:22" ht="15" x14ac:dyDescent="0.25">
      <c r="H68" s="273" t="s">
        <v>393</v>
      </c>
      <c r="I68" s="274"/>
      <c r="J68" s="4"/>
      <c r="K68" s="4"/>
      <c r="L68" s="4"/>
      <c r="M68" s="4"/>
      <c r="N68" s="4"/>
      <c r="O68" s="4"/>
      <c r="P68" s="4"/>
      <c r="Q68" s="4"/>
      <c r="R68" s="4"/>
      <c r="S68" s="4"/>
      <c r="T68" s="4"/>
      <c r="U68" s="4"/>
      <c r="V68" s="4"/>
    </row>
    <row r="69" spans="1:22" ht="15" x14ac:dyDescent="0.25">
      <c r="H69" s="273" t="s">
        <v>394</v>
      </c>
      <c r="I69" s="274"/>
      <c r="J69" s="4"/>
      <c r="K69" s="4"/>
      <c r="L69" s="4"/>
      <c r="M69" s="4"/>
      <c r="N69" s="4"/>
      <c r="O69" s="4"/>
      <c r="P69" s="4"/>
      <c r="Q69" s="4"/>
      <c r="R69" s="4"/>
      <c r="S69" s="4"/>
      <c r="T69" s="4"/>
      <c r="U69" s="4"/>
      <c r="V69" s="4"/>
    </row>
    <row r="70" spans="1:22" x14ac:dyDescent="0.2">
      <c r="H70" s="275" t="s">
        <v>275</v>
      </c>
      <c r="I70" s="276"/>
      <c r="J70" s="153"/>
      <c r="K70" s="153"/>
      <c r="L70" s="153"/>
      <c r="M70" s="153"/>
      <c r="N70" s="153"/>
      <c r="O70" s="153"/>
      <c r="P70" s="153"/>
      <c r="Q70" s="153"/>
      <c r="R70" s="153"/>
      <c r="S70" s="153"/>
      <c r="T70" s="153"/>
      <c r="U70" s="153"/>
    </row>
    <row r="71" spans="1:22" x14ac:dyDescent="0.2">
      <c r="H71" s="275"/>
      <c r="I71" s="276"/>
      <c r="J71" s="153"/>
      <c r="K71" s="153"/>
      <c r="L71" s="153"/>
      <c r="M71" s="153"/>
      <c r="N71" s="153"/>
      <c r="O71" s="153"/>
      <c r="P71" s="153"/>
      <c r="Q71" s="153"/>
      <c r="R71" s="153"/>
      <c r="S71" s="153"/>
      <c r="T71" s="153"/>
      <c r="U71" s="153"/>
    </row>
    <row r="72" spans="1:22" x14ac:dyDescent="0.2">
      <c r="H72" s="275"/>
      <c r="I72" s="276"/>
      <c r="J72" s="153"/>
      <c r="K72" s="153"/>
      <c r="L72" s="153"/>
      <c r="M72" s="153"/>
      <c r="N72" s="153"/>
      <c r="O72" s="153"/>
      <c r="P72" s="153"/>
      <c r="Q72" s="153"/>
      <c r="R72" s="153"/>
      <c r="S72" s="153"/>
      <c r="T72" s="153"/>
      <c r="U72" s="153"/>
    </row>
  </sheetData>
  <autoFilter ref="A19:I65" xr:uid="{487AF9B4-2E45-4E65-AE72-C8056A3BF8FC}">
    <filterColumn colId="1" showButton="0">
      <customFilters>
        <customFilter operator="notEqual" val=" "/>
      </customFilters>
    </filterColumn>
    <filterColumn colId="5" showButton="0"/>
    <filterColumn colId="7" showButton="0"/>
  </autoFilter>
  <mergeCells count="176">
    <mergeCell ref="F1:K1"/>
    <mergeCell ref="M12:M14"/>
    <mergeCell ref="O12:O14"/>
    <mergeCell ref="N12:N15"/>
    <mergeCell ref="A13:B13"/>
    <mergeCell ref="C13:E13"/>
    <mergeCell ref="G13:I13"/>
    <mergeCell ref="M1:O1"/>
    <mergeCell ref="M2:O3"/>
    <mergeCell ref="M5:O7"/>
    <mergeCell ref="M11:O11"/>
    <mergeCell ref="A1:E1"/>
    <mergeCell ref="A3:C3"/>
    <mergeCell ref="D3:K3"/>
    <mergeCell ref="A5:C5"/>
    <mergeCell ref="D5:K5"/>
    <mergeCell ref="B11:E11"/>
    <mergeCell ref="G11:I11"/>
    <mergeCell ref="J11:K11"/>
    <mergeCell ref="E7:K7"/>
    <mergeCell ref="A7:B7"/>
    <mergeCell ref="A9:B9"/>
    <mergeCell ref="M8:O9"/>
    <mergeCell ref="F23:G23"/>
    <mergeCell ref="H23:I23"/>
    <mergeCell ref="F24:G24"/>
    <mergeCell ref="H24:I24"/>
    <mergeCell ref="B23:C23"/>
    <mergeCell ref="B24:C24"/>
    <mergeCell ref="B25:C25"/>
    <mergeCell ref="F21:G21"/>
    <mergeCell ref="H21:I21"/>
    <mergeCell ref="F22:G22"/>
    <mergeCell ref="H22:I22"/>
    <mergeCell ref="B21:C21"/>
    <mergeCell ref="B22:C22"/>
    <mergeCell ref="F19:G19"/>
    <mergeCell ref="H19:I19"/>
    <mergeCell ref="B19:C19"/>
    <mergeCell ref="C9:K9"/>
    <mergeCell ref="A15:B15"/>
    <mergeCell ref="C15:D15"/>
    <mergeCell ref="F15:H15"/>
    <mergeCell ref="I15:K15"/>
    <mergeCell ref="A17:B17"/>
    <mergeCell ref="C17:D17"/>
    <mergeCell ref="J13:K13"/>
    <mergeCell ref="E17:F17"/>
    <mergeCell ref="G17:H17"/>
    <mergeCell ref="J17:K17"/>
    <mergeCell ref="B27:C27"/>
    <mergeCell ref="F27:G27"/>
    <mergeCell ref="H27:I27"/>
    <mergeCell ref="B28:C28"/>
    <mergeCell ref="F28:G28"/>
    <mergeCell ref="H28:I28"/>
    <mergeCell ref="F25:G25"/>
    <mergeCell ref="H25:I25"/>
    <mergeCell ref="B26:C26"/>
    <mergeCell ref="F26:G26"/>
    <mergeCell ref="H26:I26"/>
    <mergeCell ref="B31:C31"/>
    <mergeCell ref="F31:G31"/>
    <mergeCell ref="H31:I31"/>
    <mergeCell ref="B32:C32"/>
    <mergeCell ref="F32:G32"/>
    <mergeCell ref="H32:I32"/>
    <mergeCell ref="B29:C29"/>
    <mergeCell ref="F29:G29"/>
    <mergeCell ref="H29:I29"/>
    <mergeCell ref="B30:C30"/>
    <mergeCell ref="F30:G30"/>
    <mergeCell ref="H30:I30"/>
    <mergeCell ref="B35:C35"/>
    <mergeCell ref="F35:G35"/>
    <mergeCell ref="H35:I35"/>
    <mergeCell ref="B36:C36"/>
    <mergeCell ref="F36:G36"/>
    <mergeCell ref="H36:I36"/>
    <mergeCell ref="B33:C33"/>
    <mergeCell ref="F33:G33"/>
    <mergeCell ref="H33:I33"/>
    <mergeCell ref="B34:C34"/>
    <mergeCell ref="F34:G34"/>
    <mergeCell ref="H34:I34"/>
    <mergeCell ref="B39:C39"/>
    <mergeCell ref="F39:G39"/>
    <mergeCell ref="H39:I39"/>
    <mergeCell ref="B40:C40"/>
    <mergeCell ref="F40:G40"/>
    <mergeCell ref="H40:I40"/>
    <mergeCell ref="B37:C37"/>
    <mergeCell ref="F37:G37"/>
    <mergeCell ref="H37:I37"/>
    <mergeCell ref="B38:C38"/>
    <mergeCell ref="F38:G38"/>
    <mergeCell ref="H38:I38"/>
    <mergeCell ref="B43:C43"/>
    <mergeCell ref="F43:G43"/>
    <mergeCell ref="H43:I43"/>
    <mergeCell ref="B44:C44"/>
    <mergeCell ref="F44:G44"/>
    <mergeCell ref="H44:I44"/>
    <mergeCell ref="B41:C41"/>
    <mergeCell ref="F41:G41"/>
    <mergeCell ref="H41:I41"/>
    <mergeCell ref="B42:C42"/>
    <mergeCell ref="F42:G42"/>
    <mergeCell ref="H42:I42"/>
    <mergeCell ref="B47:C47"/>
    <mergeCell ref="F47:G47"/>
    <mergeCell ref="H47:I47"/>
    <mergeCell ref="B48:C48"/>
    <mergeCell ref="F48:G48"/>
    <mergeCell ref="H48:I48"/>
    <mergeCell ref="B45:C45"/>
    <mergeCell ref="F45:G45"/>
    <mergeCell ref="H45:I45"/>
    <mergeCell ref="B46:C46"/>
    <mergeCell ref="F46:G46"/>
    <mergeCell ref="H46:I46"/>
    <mergeCell ref="B51:C51"/>
    <mergeCell ref="F51:G51"/>
    <mergeCell ref="H51:I51"/>
    <mergeCell ref="B52:C52"/>
    <mergeCell ref="F52:G52"/>
    <mergeCell ref="H52:I52"/>
    <mergeCell ref="B49:C49"/>
    <mergeCell ref="F49:G49"/>
    <mergeCell ref="H49:I49"/>
    <mergeCell ref="B50:C50"/>
    <mergeCell ref="F50:G50"/>
    <mergeCell ref="H50:I50"/>
    <mergeCell ref="B55:C55"/>
    <mergeCell ref="F55:G55"/>
    <mergeCell ref="H55:I55"/>
    <mergeCell ref="B56:C56"/>
    <mergeCell ref="F56:G56"/>
    <mergeCell ref="H56:I56"/>
    <mergeCell ref="B53:C53"/>
    <mergeCell ref="F53:G53"/>
    <mergeCell ref="H53:I53"/>
    <mergeCell ref="B54:C54"/>
    <mergeCell ref="F54:G54"/>
    <mergeCell ref="H54:I54"/>
    <mergeCell ref="H62:I62"/>
    <mergeCell ref="B59:C59"/>
    <mergeCell ref="F59:G59"/>
    <mergeCell ref="H59:I59"/>
    <mergeCell ref="B60:C60"/>
    <mergeCell ref="F60:G60"/>
    <mergeCell ref="H60:I60"/>
    <mergeCell ref="B57:C57"/>
    <mergeCell ref="F57:G57"/>
    <mergeCell ref="H57:I57"/>
    <mergeCell ref="B58:C58"/>
    <mergeCell ref="F58:G58"/>
    <mergeCell ref="H58:I58"/>
    <mergeCell ref="B61:C61"/>
    <mergeCell ref="F61:G61"/>
    <mergeCell ref="H61:I61"/>
    <mergeCell ref="B62:C62"/>
    <mergeCell ref="F62:G62"/>
    <mergeCell ref="H70:I72"/>
    <mergeCell ref="H69:I69"/>
    <mergeCell ref="H67:I67"/>
    <mergeCell ref="H68:I68"/>
    <mergeCell ref="B65:C65"/>
    <mergeCell ref="F65:G65"/>
    <mergeCell ref="H65:I65"/>
    <mergeCell ref="B63:C63"/>
    <mergeCell ref="F63:G63"/>
    <mergeCell ref="H63:I63"/>
    <mergeCell ref="B64:C64"/>
    <mergeCell ref="F64:G64"/>
    <mergeCell ref="H64:I64"/>
  </mergeCells>
  <phoneticPr fontId="43" type="noConversion"/>
  <conditionalFormatting sqref="A21:A65">
    <cfRule type="cellIs" dxfId="4" priority="1" operator="lessThan">
      <formula>1</formula>
    </cfRule>
  </conditionalFormatting>
  <conditionalFormatting sqref="F1 D3 D5 C7 C9 B11 J11 C13 J13 C15 I15">
    <cfRule type="containsBlanks" dxfId="3" priority="4">
      <formula>LEN(TRIM(B1))=0</formula>
    </cfRule>
  </conditionalFormatting>
  <conditionalFormatting sqref="M2 M8 M15 O15">
    <cfRule type="containsBlanks" dxfId="2" priority="3">
      <formula>LEN(TRIM(M2))=0</formula>
    </cfRule>
  </conditionalFormatting>
  <pageMargins left="0.7" right="0.7" top="1.5" bottom="0.75" header="0.3" footer="0.3"/>
  <pageSetup paperSize="9" scale="68" fitToHeight="0" orientation="landscape" r:id="rId1"/>
  <headerFooter>
    <oddHeader xml:space="preserve">&amp;C&amp;G&amp;R
</oddHeader>
    <oddFooter>&amp;Cטופס 010 מהדורה 01</oddFooter>
  </headerFooter>
  <legacyDrawingHF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DDEF-FE24-46D8-BF10-0CE20ADA27A2}">
  <sheetPr codeName="גיליון10"/>
  <dimension ref="A1:I44"/>
  <sheetViews>
    <sheetView rightToLeft="1" view="pageLayout" topLeftCell="A13" zoomScaleNormal="100" workbookViewId="0">
      <selection activeCell="C2" sqref="C2"/>
    </sheetView>
  </sheetViews>
  <sheetFormatPr defaultRowHeight="14.25" x14ac:dyDescent="0.2"/>
  <cols>
    <col min="8" max="8" width="7.25" customWidth="1"/>
  </cols>
  <sheetData>
    <row r="1" spans="1:9" ht="27.75" x14ac:dyDescent="0.4">
      <c r="A1" s="293" t="s">
        <v>340</v>
      </c>
      <c r="B1" s="293"/>
      <c r="C1" s="293"/>
      <c r="D1" s="293"/>
      <c r="E1" s="293"/>
      <c r="F1" s="293"/>
      <c r="G1" s="293"/>
      <c r="H1" s="293"/>
      <c r="I1" s="293"/>
    </row>
    <row r="2" spans="1:9" ht="40.5" customHeight="1" x14ac:dyDescent="0.2">
      <c r="D2" s="296">
        <f>מבקר!G8</f>
        <v>0</v>
      </c>
      <c r="E2" s="296"/>
      <c r="F2" s="147"/>
    </row>
    <row r="3" spans="1:9" ht="20.25" x14ac:dyDescent="0.3">
      <c r="A3" s="294">
        <f>מבקר!G18</f>
        <v>0</v>
      </c>
      <c r="B3" s="294"/>
      <c r="C3" s="294"/>
      <c r="D3" s="294"/>
      <c r="E3" s="294"/>
      <c r="F3" s="294"/>
      <c r="G3" s="294" t="s">
        <v>341</v>
      </c>
      <c r="H3" s="294"/>
      <c r="I3" s="294"/>
    </row>
    <row r="5" spans="1:9" ht="15.75" x14ac:dyDescent="0.25">
      <c r="A5" s="295">
        <f>מבקר!G16</f>
        <v>0</v>
      </c>
      <c r="B5" s="295"/>
      <c r="C5" s="295"/>
      <c r="D5" s="295"/>
      <c r="E5" s="295"/>
      <c r="F5" s="288" t="s">
        <v>343</v>
      </c>
      <c r="G5" s="288"/>
      <c r="H5" s="288"/>
      <c r="I5" s="124" t="s">
        <v>352</v>
      </c>
    </row>
    <row r="6" spans="1:9" ht="5.0999999999999996" customHeight="1" x14ac:dyDescent="0.25">
      <c r="A6" s="146"/>
      <c r="B6" s="146"/>
      <c r="C6" s="146"/>
      <c r="D6" s="146"/>
      <c r="E6" s="146"/>
      <c r="F6" s="145"/>
      <c r="G6" s="145"/>
      <c r="H6" s="145"/>
      <c r="I6" s="124"/>
    </row>
    <row r="7" spans="1:9" ht="15.75" x14ac:dyDescent="0.25">
      <c r="A7" s="295">
        <f>מבקר!G4</f>
        <v>0</v>
      </c>
      <c r="B7" s="295"/>
      <c r="C7" s="295"/>
      <c r="D7" s="295"/>
      <c r="E7" s="295"/>
      <c r="F7" s="288" t="s">
        <v>342</v>
      </c>
      <c r="G7" s="288"/>
      <c r="H7" s="288"/>
      <c r="I7" s="124" t="s">
        <v>353</v>
      </c>
    </row>
    <row r="8" spans="1:9" ht="5.0999999999999996" customHeight="1" x14ac:dyDescent="0.25">
      <c r="A8" s="146"/>
      <c r="B8" s="146"/>
      <c r="C8" s="146"/>
      <c r="D8" s="146"/>
      <c r="E8" s="146"/>
      <c r="F8" s="145"/>
      <c r="G8" s="145"/>
      <c r="H8" s="145"/>
      <c r="I8" s="124"/>
    </row>
    <row r="9" spans="1:9" ht="15.75" x14ac:dyDescent="0.25">
      <c r="A9" s="297">
        <f>'דוח ביקורת'!J11</f>
        <v>0</v>
      </c>
      <c r="B9" s="298"/>
      <c r="C9" s="298"/>
      <c r="D9" s="298"/>
      <c r="E9" s="298"/>
      <c r="F9" s="288" t="s">
        <v>399</v>
      </c>
      <c r="G9" s="288"/>
      <c r="H9" s="288"/>
      <c r="I9" s="124" t="s">
        <v>354</v>
      </c>
    </row>
    <row r="10" spans="1:9" ht="5.0999999999999996" customHeight="1" x14ac:dyDescent="0.25">
      <c r="A10" s="146"/>
      <c r="B10" s="146"/>
      <c r="C10" s="146"/>
      <c r="D10" s="146"/>
      <c r="E10" s="146"/>
      <c r="F10" s="145"/>
      <c r="G10" s="145"/>
      <c r="H10" s="145"/>
      <c r="I10" s="124"/>
    </row>
    <row r="11" spans="1:9" ht="15.75" x14ac:dyDescent="0.25">
      <c r="A11" s="295">
        <f>מבקר!G6</f>
        <v>0</v>
      </c>
      <c r="B11" s="295"/>
      <c r="C11" s="295"/>
      <c r="D11" s="295"/>
      <c r="E11" s="295"/>
      <c r="F11" s="288" t="s">
        <v>344</v>
      </c>
      <c r="G11" s="288"/>
      <c r="H11" s="288"/>
      <c r="I11" s="124" t="s">
        <v>355</v>
      </c>
    </row>
    <row r="12" spans="1:9" ht="5.0999999999999996" customHeight="1" x14ac:dyDescent="0.25">
      <c r="A12" s="146"/>
      <c r="B12" s="146"/>
      <c r="C12" s="146"/>
      <c r="D12" s="146"/>
      <c r="E12" s="146"/>
      <c r="F12" s="145"/>
      <c r="G12" s="145"/>
      <c r="H12" s="145"/>
      <c r="I12" s="124"/>
    </row>
    <row r="13" spans="1:9" ht="15.75" x14ac:dyDescent="0.25">
      <c r="A13" s="299">
        <f>מבקר!I20</f>
        <v>0</v>
      </c>
      <c r="B13" s="295"/>
      <c r="C13" s="295"/>
      <c r="D13" s="295"/>
      <c r="E13" s="295"/>
      <c r="F13" s="288" t="s">
        <v>345</v>
      </c>
      <c r="G13" s="288"/>
      <c r="H13" s="288"/>
      <c r="I13" s="124" t="s">
        <v>356</v>
      </c>
    </row>
    <row r="14" spans="1:9" ht="5.0999999999999996" customHeight="1" x14ac:dyDescent="0.25">
      <c r="A14" s="146"/>
      <c r="B14" s="146"/>
      <c r="C14" s="146"/>
      <c r="D14" s="146"/>
      <c r="E14" s="146"/>
      <c r="F14" s="145"/>
      <c r="G14" s="145"/>
      <c r="H14" s="145"/>
      <c r="I14" s="124"/>
    </row>
    <row r="15" spans="1:9" ht="15.75" x14ac:dyDescent="0.25">
      <c r="A15" s="295">
        <f>מבקר!G12</f>
        <v>0</v>
      </c>
      <c r="B15" s="295"/>
      <c r="C15" s="295"/>
      <c r="D15" s="295"/>
      <c r="E15" s="295"/>
      <c r="F15" s="288" t="s">
        <v>346</v>
      </c>
      <c r="G15" s="288"/>
      <c r="H15" s="288"/>
      <c r="I15" s="124" t="s">
        <v>357</v>
      </c>
    </row>
    <row r="16" spans="1:9" ht="5.0999999999999996" customHeight="1" x14ac:dyDescent="0.25">
      <c r="A16" s="146"/>
      <c r="B16" s="146"/>
      <c r="C16" s="146"/>
      <c r="D16" s="146"/>
      <c r="E16" s="146"/>
      <c r="F16" s="145"/>
      <c r="G16" s="145"/>
      <c r="H16" s="145"/>
      <c r="I16" s="124"/>
    </row>
    <row r="17" spans="1:9" ht="15.75" x14ac:dyDescent="0.25">
      <c r="A17" s="295">
        <f>מבקר!G14</f>
        <v>0</v>
      </c>
      <c r="B17" s="295"/>
      <c r="C17" s="295"/>
      <c r="D17" s="295"/>
      <c r="E17" s="295"/>
      <c r="F17" s="288" t="s">
        <v>347</v>
      </c>
      <c r="G17" s="288"/>
      <c r="H17" s="288"/>
      <c r="I17" s="124" t="s">
        <v>358</v>
      </c>
    </row>
    <row r="18" spans="1:9" ht="5.0999999999999996" customHeight="1" x14ac:dyDescent="0.25">
      <c r="A18" s="146"/>
      <c r="B18" s="146"/>
      <c r="C18" s="146"/>
      <c r="D18" s="146"/>
      <c r="E18" s="146"/>
      <c r="F18" s="145"/>
      <c r="G18" s="145"/>
      <c r="H18" s="145"/>
      <c r="I18" s="124"/>
    </row>
    <row r="19" spans="1:9" ht="15.75" x14ac:dyDescent="0.25">
      <c r="A19" s="300">
        <f ca="1">TODAY()</f>
        <v>46149</v>
      </c>
      <c r="B19" s="300"/>
      <c r="C19" s="300"/>
      <c r="D19" s="300"/>
      <c r="E19" s="300"/>
      <c r="F19" s="288" t="s">
        <v>348</v>
      </c>
      <c r="G19" s="288"/>
      <c r="H19" s="288"/>
      <c r="I19" s="124" t="s">
        <v>359</v>
      </c>
    </row>
    <row r="20" spans="1:9" ht="5.0999999999999996" customHeight="1" x14ac:dyDescent="0.25">
      <c r="A20" s="146"/>
      <c r="B20" s="146"/>
      <c r="C20" s="146"/>
      <c r="D20" s="146"/>
      <c r="E20" s="146"/>
      <c r="F20" s="145"/>
      <c r="G20" s="145"/>
      <c r="H20" s="145"/>
      <c r="I20" s="124"/>
    </row>
    <row r="21" spans="1:9" ht="15.75" x14ac:dyDescent="0.25">
      <c r="A21" s="295">
        <f>מבקר!G22</f>
        <v>0</v>
      </c>
      <c r="B21" s="295"/>
      <c r="C21" s="295"/>
      <c r="D21" s="295"/>
      <c r="E21" s="295"/>
      <c r="F21" s="288" t="s">
        <v>349</v>
      </c>
      <c r="G21" s="288"/>
      <c r="H21" s="288"/>
      <c r="I21" s="124" t="s">
        <v>360</v>
      </c>
    </row>
    <row r="22" spans="1:9" ht="5.0999999999999996" customHeight="1" x14ac:dyDescent="0.25">
      <c r="A22" s="146"/>
      <c r="B22" s="146"/>
      <c r="C22" s="146"/>
      <c r="D22" s="146"/>
      <c r="E22" s="146"/>
      <c r="F22" s="145"/>
      <c r="G22" s="145"/>
      <c r="H22" s="145"/>
      <c r="I22" s="124"/>
    </row>
    <row r="23" spans="1:9" ht="15.75" x14ac:dyDescent="0.25">
      <c r="A23" s="295">
        <f>מבקר!G24</f>
        <v>0</v>
      </c>
      <c r="B23" s="295"/>
      <c r="C23" s="295"/>
      <c r="D23" s="295"/>
      <c r="E23" s="295"/>
      <c r="F23" s="288" t="s">
        <v>350</v>
      </c>
      <c r="G23" s="288"/>
      <c r="H23" s="288"/>
      <c r="I23" s="124" t="s">
        <v>361</v>
      </c>
    </row>
    <row r="24" spans="1:9" ht="15.75" x14ac:dyDescent="0.25">
      <c r="A24" s="146"/>
      <c r="B24" s="146"/>
      <c r="C24" s="146"/>
      <c r="D24" s="146"/>
      <c r="E24" s="146"/>
      <c r="F24" s="145"/>
      <c r="G24" s="145"/>
      <c r="H24" s="145"/>
      <c r="I24" s="124"/>
    </row>
    <row r="25" spans="1:9" ht="15" customHeight="1" x14ac:dyDescent="0.25">
      <c r="A25" s="295">
        <f>מבקר!I24</f>
        <v>0</v>
      </c>
      <c r="B25" s="295"/>
      <c r="C25" s="295"/>
      <c r="D25" s="295"/>
      <c r="E25" s="295"/>
      <c r="F25" s="288" t="s">
        <v>351</v>
      </c>
      <c r="G25" s="288"/>
      <c r="H25" s="288"/>
      <c r="I25" s="124" t="s">
        <v>400</v>
      </c>
    </row>
    <row r="27" spans="1:9" x14ac:dyDescent="0.2">
      <c r="A27" s="289" t="s">
        <v>362</v>
      </c>
      <c r="B27" s="289"/>
      <c r="C27" s="289"/>
      <c r="D27" s="289"/>
      <c r="E27" s="289"/>
      <c r="F27" s="289"/>
      <c r="G27" s="289"/>
      <c r="H27" s="289"/>
      <c r="I27" s="289"/>
    </row>
    <row r="28" spans="1:9" x14ac:dyDescent="0.2">
      <c r="A28" s="289"/>
      <c r="B28" s="289"/>
      <c r="C28" s="289"/>
      <c r="D28" s="289"/>
      <c r="E28" s="289"/>
      <c r="F28" s="289"/>
      <c r="G28" s="289"/>
      <c r="H28" s="289"/>
      <c r="I28" s="289"/>
    </row>
    <row r="29" spans="1:9" x14ac:dyDescent="0.2">
      <c r="A29" s="289"/>
      <c r="B29" s="289"/>
      <c r="C29" s="289"/>
      <c r="D29" s="289"/>
      <c r="E29" s="289"/>
      <c r="F29" s="289"/>
      <c r="G29" s="289"/>
      <c r="H29" s="289"/>
      <c r="I29" s="289"/>
    </row>
    <row r="30" spans="1:9" x14ac:dyDescent="0.2">
      <c r="A30" s="289"/>
      <c r="B30" s="289"/>
      <c r="C30" s="289"/>
      <c r="D30" s="289"/>
      <c r="E30" s="289"/>
      <c r="F30" s="289"/>
      <c r="G30" s="289"/>
      <c r="H30" s="289"/>
      <c r="I30" s="289"/>
    </row>
    <row r="32" spans="1:9" ht="20.25" x14ac:dyDescent="0.3">
      <c r="C32" s="148"/>
      <c r="D32" s="148"/>
      <c r="E32" s="148"/>
      <c r="F32" s="148"/>
      <c r="G32" s="290" t="s">
        <v>363</v>
      </c>
      <c r="H32" s="290"/>
      <c r="I32" s="290"/>
    </row>
    <row r="33" spans="3:9" x14ac:dyDescent="0.2">
      <c r="C33" s="148"/>
      <c r="D33" s="148"/>
      <c r="E33" s="148"/>
      <c r="F33" s="148"/>
      <c r="G33" s="148"/>
      <c r="H33" s="148"/>
      <c r="I33" s="148"/>
    </row>
    <row r="34" spans="3:9" x14ac:dyDescent="0.2">
      <c r="C34" s="148"/>
      <c r="D34" s="148"/>
      <c r="E34" s="148"/>
      <c r="F34" s="148"/>
      <c r="G34" s="148"/>
      <c r="H34" s="291" t="s">
        <v>364</v>
      </c>
      <c r="I34" s="291"/>
    </row>
    <row r="35" spans="3:9" x14ac:dyDescent="0.2">
      <c r="C35" s="148"/>
      <c r="D35" s="148"/>
      <c r="E35" s="148"/>
      <c r="F35" s="148"/>
      <c r="G35" s="148"/>
      <c r="H35" s="148"/>
      <c r="I35" s="148"/>
    </row>
    <row r="36" spans="3:9" x14ac:dyDescent="0.2">
      <c r="C36" s="148"/>
      <c r="D36" s="148"/>
      <c r="E36" s="148"/>
      <c r="F36" s="148"/>
      <c r="G36" s="148"/>
      <c r="H36" s="291" t="s">
        <v>365</v>
      </c>
      <c r="I36" s="291"/>
    </row>
    <row r="37" spans="3:9" x14ac:dyDescent="0.2">
      <c r="C37" s="148"/>
      <c r="D37" s="148"/>
      <c r="E37" s="148"/>
      <c r="F37" s="148"/>
      <c r="G37" s="148"/>
      <c r="H37" s="148"/>
      <c r="I37" s="148"/>
    </row>
    <row r="38" spans="3:9" ht="23.25" x14ac:dyDescent="0.35">
      <c r="C38" s="292" t="s">
        <v>373</v>
      </c>
      <c r="D38" s="292"/>
      <c r="E38" s="292"/>
      <c r="F38" s="292"/>
      <c r="G38" s="292"/>
      <c r="H38" s="292"/>
      <c r="I38" s="292"/>
    </row>
    <row r="39" spans="3:9" x14ac:dyDescent="0.2">
      <c r="C39" s="148"/>
      <c r="D39" s="148"/>
      <c r="E39" s="148"/>
      <c r="F39" s="148"/>
      <c r="G39" s="148"/>
      <c r="H39" s="148"/>
      <c r="I39" s="148"/>
    </row>
    <row r="40" spans="3:9" ht="18" x14ac:dyDescent="0.25">
      <c r="C40" s="148"/>
      <c r="D40" s="148"/>
      <c r="E40" s="148"/>
      <c r="F40" s="148"/>
      <c r="G40" s="149" t="s">
        <v>367</v>
      </c>
      <c r="H40" s="287" t="s">
        <v>366</v>
      </c>
      <c r="I40" s="287"/>
    </row>
    <row r="41" spans="3:9" x14ac:dyDescent="0.2">
      <c r="C41" s="148"/>
      <c r="D41" s="148"/>
      <c r="E41" s="148"/>
      <c r="F41" s="148"/>
      <c r="G41" s="148"/>
      <c r="H41" s="148"/>
      <c r="I41" s="148"/>
    </row>
    <row r="42" spans="3:9" ht="18" x14ac:dyDescent="0.25">
      <c r="C42" s="148"/>
      <c r="D42" s="148"/>
      <c r="E42" s="301">
        <f>מבקר!G17</f>
        <v>0</v>
      </c>
      <c r="F42" s="301"/>
      <c r="G42" s="301"/>
      <c r="H42" s="287" t="s">
        <v>368</v>
      </c>
      <c r="I42" s="287"/>
    </row>
    <row r="43" spans="3:9" x14ac:dyDescent="0.2">
      <c r="C43" s="148"/>
      <c r="D43" s="148"/>
      <c r="E43" s="148"/>
      <c r="F43" s="148"/>
      <c r="G43" s="148"/>
      <c r="H43" s="148"/>
      <c r="I43" s="148"/>
    </row>
    <row r="44" spans="3:9" ht="18.75" thickBot="1" x14ac:dyDescent="0.25">
      <c r="C44" s="148"/>
      <c r="D44" s="148"/>
      <c r="E44" s="125"/>
      <c r="F44" s="125"/>
      <c r="G44" s="125"/>
      <c r="H44" s="287" t="s">
        <v>369</v>
      </c>
      <c r="I44" s="287"/>
    </row>
  </sheetData>
  <mergeCells count="35">
    <mergeCell ref="A19:E19"/>
    <mergeCell ref="A21:E21"/>
    <mergeCell ref="A23:E23"/>
    <mergeCell ref="H42:I42"/>
    <mergeCell ref="H34:I34"/>
    <mergeCell ref="H40:I40"/>
    <mergeCell ref="F23:H23"/>
    <mergeCell ref="F21:H21"/>
    <mergeCell ref="F19:H19"/>
    <mergeCell ref="A25:E25"/>
    <mergeCell ref="E42:G42"/>
    <mergeCell ref="A7:E7"/>
    <mergeCell ref="A9:E9"/>
    <mergeCell ref="A11:E11"/>
    <mergeCell ref="A13:E13"/>
    <mergeCell ref="F17:H17"/>
    <mergeCell ref="F15:H15"/>
    <mergeCell ref="F13:H13"/>
    <mergeCell ref="F11:H11"/>
    <mergeCell ref="F9:H9"/>
    <mergeCell ref="F7:H7"/>
    <mergeCell ref="A15:E15"/>
    <mergeCell ref="A17:E17"/>
    <mergeCell ref="A1:I1"/>
    <mergeCell ref="A3:F3"/>
    <mergeCell ref="G3:I3"/>
    <mergeCell ref="F5:H5"/>
    <mergeCell ref="A5:E5"/>
    <mergeCell ref="D2:E2"/>
    <mergeCell ref="H44:I44"/>
    <mergeCell ref="F25:H25"/>
    <mergeCell ref="A27:I30"/>
    <mergeCell ref="G32:I32"/>
    <mergeCell ref="H36:I36"/>
    <mergeCell ref="C38:I38"/>
  </mergeCells>
  <pageMargins left="0.7" right="0.7" top="1.5" bottom="0.75" header="0.3" footer="0.3"/>
  <pageSetup paperSize="9" orientation="portrait" r:id="rId1"/>
  <headerFooter>
    <oddHeader>&amp;C&amp;G</oddHeader>
    <oddFooter>&amp;C&amp;8טופס 015-1 מהדורה 00 &amp;11&amp;G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6" r:id="rId5" name="Check Box 2">
              <controlPr defaultSize="0" autoFill="0" autoLine="0" autoPict="0">
                <anchor moveWithCells="1">
                  <from>
                    <xdr:col>6</xdr:col>
                    <xdr:colOff>476250</xdr:colOff>
                    <xdr:row>33</xdr:row>
                    <xdr:rowOff>0</xdr:rowOff>
                  </from>
                  <to>
                    <xdr:col>7</xdr:col>
                    <xdr:colOff>457200</xdr:colOff>
                    <xdr:row>34</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6</xdr:col>
                    <xdr:colOff>476250</xdr:colOff>
                    <xdr:row>35</xdr:row>
                    <xdr:rowOff>0</xdr:rowOff>
                  </from>
                  <to>
                    <xdr:col>7</xdr:col>
                    <xdr:colOff>457200</xdr:colOff>
                    <xdr:row>36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7077-1CEC-4357-9619-7D8443918AC5}">
  <sheetPr codeName="גיליון11">
    <pageSetUpPr fitToPage="1"/>
  </sheetPr>
  <dimension ref="A1:K100"/>
  <sheetViews>
    <sheetView rightToLeft="1" view="pageLayout" zoomScaleNormal="100" workbookViewId="0">
      <selection activeCell="D5" sqref="D5:K5"/>
    </sheetView>
  </sheetViews>
  <sheetFormatPr defaultRowHeight="14.25" x14ac:dyDescent="0.2"/>
  <cols>
    <col min="7" max="7" width="2.875" customWidth="1"/>
    <col min="10" max="10" width="9.125" customWidth="1"/>
  </cols>
  <sheetData>
    <row r="1" spans="1:11" ht="41.25" customHeight="1" thickBot="1" x14ac:dyDescent="0.35">
      <c r="A1" s="198" t="s">
        <v>337</v>
      </c>
      <c r="B1" s="199"/>
      <c r="C1" s="199"/>
      <c r="D1" s="199"/>
      <c r="E1" s="200"/>
      <c r="F1" s="171"/>
      <c r="G1" s="172"/>
      <c r="H1" s="172"/>
      <c r="I1" s="171"/>
      <c r="J1" s="172"/>
      <c r="K1" s="238"/>
    </row>
    <row r="2" spans="1:11" ht="4.5" customHeight="1" thickBot="1" x14ac:dyDescent="0.25"/>
    <row r="3" spans="1:11" ht="15.75" thickBot="1" x14ac:dyDescent="0.3">
      <c r="A3" s="181" t="s">
        <v>0</v>
      </c>
      <c r="B3" s="182"/>
      <c r="C3" s="182"/>
      <c r="D3" s="181">
        <f>מבקר!G18</f>
        <v>0</v>
      </c>
      <c r="E3" s="182"/>
      <c r="F3" s="182"/>
      <c r="G3" s="182"/>
      <c r="H3" s="182"/>
      <c r="I3" s="182"/>
      <c r="J3" s="182"/>
      <c r="K3" s="183"/>
    </row>
    <row r="4" spans="1:11" ht="3.75" customHeight="1" thickBot="1" x14ac:dyDescent="0.25"/>
    <row r="5" spans="1:11" ht="15.75" thickBot="1" x14ac:dyDescent="0.3">
      <c r="A5" s="181" t="s">
        <v>1</v>
      </c>
      <c r="B5" s="182"/>
      <c r="C5" s="182"/>
      <c r="D5" s="181">
        <f>מבקר!G19</f>
        <v>0</v>
      </c>
      <c r="E5" s="182"/>
      <c r="F5" s="182"/>
      <c r="G5" s="182"/>
      <c r="H5" s="182"/>
      <c r="I5" s="182"/>
      <c r="J5" s="182"/>
      <c r="K5" s="183"/>
    </row>
    <row r="6" spans="1:11" ht="3.75" customHeight="1" thickBot="1" x14ac:dyDescent="0.25"/>
    <row r="7" spans="1:11" ht="15.75" thickBot="1" x14ac:dyDescent="0.3">
      <c r="A7" s="181" t="s">
        <v>2</v>
      </c>
      <c r="B7" s="183"/>
      <c r="C7" s="81">
        <f>מבקר!G20</f>
        <v>0</v>
      </c>
      <c r="D7" s="9"/>
      <c r="E7" s="181"/>
      <c r="F7" s="182"/>
      <c r="G7" s="182"/>
      <c r="H7" s="182"/>
      <c r="I7" s="182"/>
      <c r="J7" s="182"/>
      <c r="K7" s="183"/>
    </row>
    <row r="8" spans="1:11" ht="3" customHeight="1" thickBot="1" x14ac:dyDescent="0.25"/>
    <row r="9" spans="1:11" ht="15.75" thickBot="1" x14ac:dyDescent="0.3">
      <c r="A9" s="182" t="s">
        <v>3</v>
      </c>
      <c r="B9" s="182"/>
      <c r="C9" s="181">
        <f>מבקר!G6</f>
        <v>0</v>
      </c>
      <c r="D9" s="182"/>
      <c r="E9" s="182"/>
      <c r="F9" s="182"/>
      <c r="G9" s="182"/>
      <c r="H9" s="182"/>
      <c r="I9" s="182"/>
      <c r="J9" s="182"/>
      <c r="K9" s="183"/>
    </row>
    <row r="10" spans="1:11" ht="3" customHeight="1" thickBot="1" x14ac:dyDescent="0.25"/>
    <row r="11" spans="1:11" ht="15.75" thickBot="1" x14ac:dyDescent="0.3">
      <c r="A11" s="11" t="s">
        <v>4</v>
      </c>
      <c r="B11" s="188">
        <f>מבקר!G4</f>
        <v>0</v>
      </c>
      <c r="C11" s="189"/>
      <c r="D11" s="189"/>
      <c r="E11" s="221"/>
      <c r="G11" s="181" t="s">
        <v>6</v>
      </c>
      <c r="H11" s="182"/>
      <c r="I11" s="182"/>
      <c r="J11" s="188">
        <f>'דוח ביקורת'!J11</f>
        <v>0</v>
      </c>
      <c r="K11" s="221"/>
    </row>
    <row r="12" spans="1:11" ht="3" customHeight="1" thickBot="1" x14ac:dyDescent="0.25">
      <c r="J12" s="10"/>
    </row>
    <row r="13" spans="1:11" ht="15.75" thickBot="1" x14ac:dyDescent="0.3">
      <c r="A13" s="181" t="s">
        <v>5</v>
      </c>
      <c r="B13" s="183"/>
      <c r="C13" s="181">
        <f>מבקר!G12</f>
        <v>0</v>
      </c>
      <c r="D13" s="182"/>
      <c r="E13" s="183"/>
      <c r="G13" s="181" t="s">
        <v>7</v>
      </c>
      <c r="H13" s="182"/>
      <c r="I13" s="182"/>
      <c r="J13" s="188">
        <f>מבקר!G14</f>
        <v>0</v>
      </c>
      <c r="K13" s="221"/>
    </row>
    <row r="14" spans="1:11" ht="3" customHeight="1" thickBot="1" x14ac:dyDescent="0.25"/>
    <row r="15" spans="1:11" ht="15.75" thickBot="1" x14ac:dyDescent="0.3">
      <c r="A15" s="181" t="s">
        <v>25</v>
      </c>
      <c r="B15" s="183"/>
      <c r="C15" s="178">
        <f>מבקר!G22</f>
        <v>0</v>
      </c>
      <c r="D15" s="180"/>
      <c r="F15" s="181" t="s">
        <v>26</v>
      </c>
      <c r="G15" s="182"/>
      <c r="H15" s="182"/>
      <c r="I15" s="178">
        <f>מבקר!G23</f>
        <v>0</v>
      </c>
      <c r="J15" s="179"/>
      <c r="K15" s="180"/>
    </row>
    <row r="16" spans="1:11" ht="3" customHeight="1" thickBot="1" x14ac:dyDescent="0.3">
      <c r="A16" s="122"/>
      <c r="B16" s="122"/>
      <c r="C16" s="122"/>
      <c r="D16" s="122"/>
    </row>
    <row r="17" spans="1:11" ht="15.75" thickBot="1" x14ac:dyDescent="0.3">
      <c r="A17" s="181" t="s">
        <v>94</v>
      </c>
      <c r="B17" s="183"/>
      <c r="C17" s="179">
        <f>מבקר!G17</f>
        <v>0</v>
      </c>
      <c r="D17" s="179"/>
      <c r="E17" s="181" t="s">
        <v>96</v>
      </c>
      <c r="F17" s="183"/>
      <c r="G17" s="223">
        <f ca="1">TODAY()</f>
        <v>46149</v>
      </c>
      <c r="H17" s="224"/>
      <c r="I17" s="11" t="s">
        <v>95</v>
      </c>
      <c r="J17" s="178"/>
      <c r="K17" s="180"/>
    </row>
    <row r="18" spans="1:11" ht="15" thickBot="1" x14ac:dyDescent="0.25"/>
    <row r="19" spans="1:11" ht="15" customHeight="1" x14ac:dyDescent="0.2">
      <c r="A19" s="215" t="s">
        <v>27</v>
      </c>
      <c r="B19" s="233" t="s">
        <v>28</v>
      </c>
      <c r="C19" s="229"/>
      <c r="D19" s="195" t="s">
        <v>29</v>
      </c>
      <c r="E19" s="219" t="s">
        <v>30</v>
      </c>
      <c r="F19" s="190" t="s">
        <v>34</v>
      </c>
      <c r="G19" s="191"/>
      <c r="H19" s="194" t="s">
        <v>31</v>
      </c>
      <c r="I19" s="195"/>
      <c r="J19" s="213" t="s">
        <v>339</v>
      </c>
      <c r="K19" s="215" t="s">
        <v>338</v>
      </c>
    </row>
    <row r="20" spans="1:11" ht="15" thickBot="1" x14ac:dyDescent="0.25">
      <c r="A20" s="216"/>
      <c r="B20" s="234"/>
      <c r="C20" s="230"/>
      <c r="D20" s="197"/>
      <c r="E20" s="220"/>
      <c r="F20" s="192"/>
      <c r="G20" s="193"/>
      <c r="H20" s="196"/>
      <c r="I20" s="197"/>
      <c r="J20" s="214"/>
      <c r="K20" s="216"/>
    </row>
    <row r="21" spans="1:11" ht="3" customHeight="1" x14ac:dyDescent="0.2">
      <c r="A21" s="24"/>
      <c r="B21" s="119"/>
      <c r="C21" s="120"/>
      <c r="D21" s="26"/>
      <c r="E21" s="27"/>
      <c r="F21" s="28"/>
      <c r="G21" s="29"/>
      <c r="H21" s="30"/>
      <c r="I21" s="26"/>
      <c r="J21" s="30"/>
      <c r="K21" s="109"/>
    </row>
    <row r="22" spans="1:11" x14ac:dyDescent="0.2">
      <c r="A22" s="16">
        <v>1</v>
      </c>
      <c r="B22" s="266">
        <f>מבקר!O2</f>
        <v>0</v>
      </c>
      <c r="C22" s="267"/>
      <c r="D22" s="118">
        <f>'דוח ביקורת'!D23</f>
        <v>0</v>
      </c>
      <c r="E22" s="118">
        <f>'דוח ביקורת'!E23</f>
        <v>0</v>
      </c>
      <c r="F22" s="204">
        <f>מבקר!Q2</f>
        <v>0</v>
      </c>
      <c r="G22" s="205"/>
      <c r="H22" s="204">
        <f>מבקר!S2</f>
        <v>0</v>
      </c>
      <c r="I22" s="205"/>
      <c r="J22" s="123">
        <f>'דוח ביקורת'!K23</f>
        <v>0</v>
      </c>
      <c r="K22" s="121"/>
    </row>
    <row r="23" spans="1:11" x14ac:dyDescent="0.2">
      <c r="A23" s="18">
        <v>2</v>
      </c>
      <c r="B23" s="266">
        <f>מבקר!O3</f>
        <v>0</v>
      </c>
      <c r="C23" s="267"/>
      <c r="D23" s="118">
        <f>'דוח ביקורת'!D24</f>
        <v>0</v>
      </c>
      <c r="E23" s="118">
        <f>'דוח ביקורת'!E24</f>
        <v>0</v>
      </c>
      <c r="F23" s="204">
        <f>מבקר!Q3</f>
        <v>0</v>
      </c>
      <c r="G23" s="205"/>
      <c r="H23" s="204">
        <f>מבקר!S3</f>
        <v>0</v>
      </c>
      <c r="I23" s="205"/>
      <c r="J23" s="123">
        <f>'דוח ביקורת'!L24</f>
        <v>0</v>
      </c>
      <c r="K23" s="121"/>
    </row>
    <row r="24" spans="1:11" x14ac:dyDescent="0.2">
      <c r="A24" s="18">
        <v>3</v>
      </c>
      <c r="B24" s="266">
        <f>מבקר!O4</f>
        <v>0</v>
      </c>
      <c r="C24" s="267"/>
      <c r="D24" s="118">
        <f>'דוח ביקורת'!D25</f>
        <v>0</v>
      </c>
      <c r="E24" s="118">
        <f>'דוח ביקורת'!E25</f>
        <v>0</v>
      </c>
      <c r="F24" s="204">
        <f>מבקר!Q4</f>
        <v>0</v>
      </c>
      <c r="G24" s="205"/>
      <c r="H24" s="204">
        <f>מבקר!S4</f>
        <v>0</v>
      </c>
      <c r="I24" s="205"/>
      <c r="J24" s="123">
        <f>'דוח ביקורת'!N25</f>
        <v>0</v>
      </c>
      <c r="K24" s="4"/>
    </row>
    <row r="25" spans="1:11" x14ac:dyDescent="0.2">
      <c r="A25" s="18">
        <v>4</v>
      </c>
      <c r="B25" s="266">
        <f>מבקר!O5</f>
        <v>0</v>
      </c>
      <c r="C25" s="267"/>
      <c r="D25" s="118">
        <f>'דוח ביקורת'!D26</f>
        <v>0</v>
      </c>
      <c r="E25" s="118">
        <f>'דוח ביקורת'!E26</f>
        <v>0</v>
      </c>
      <c r="F25" s="204">
        <f>מבקר!Q5</f>
        <v>0</v>
      </c>
      <c r="G25" s="205"/>
      <c r="H25" s="204">
        <f>מבקר!S5</f>
        <v>0</v>
      </c>
      <c r="I25" s="205"/>
      <c r="J25" s="123">
        <f>'דוח ביקורת'!N26</f>
        <v>0</v>
      </c>
      <c r="K25" s="4"/>
    </row>
    <row r="26" spans="1:11" x14ac:dyDescent="0.2">
      <c r="A26" s="18">
        <v>5</v>
      </c>
      <c r="B26" s="266">
        <f>מבקר!O6</f>
        <v>0</v>
      </c>
      <c r="C26" s="267"/>
      <c r="D26" s="118">
        <f>'דוח ביקורת'!D27</f>
        <v>0</v>
      </c>
      <c r="E26" s="118">
        <f>'דוח ביקורת'!E27</f>
        <v>0</v>
      </c>
      <c r="F26" s="204">
        <f>מבקר!Q6</f>
        <v>0</v>
      </c>
      <c r="G26" s="205"/>
      <c r="H26" s="204">
        <f>מבקר!S6</f>
        <v>0</v>
      </c>
      <c r="I26" s="205"/>
      <c r="J26" s="123">
        <f>'דוח ביקורת'!M27</f>
        <v>0</v>
      </c>
      <c r="K26" s="4"/>
    </row>
    <row r="27" spans="1:11" x14ac:dyDescent="0.2">
      <c r="A27" s="18">
        <v>6</v>
      </c>
      <c r="B27" s="266">
        <f>מבקר!O7</f>
        <v>0</v>
      </c>
      <c r="C27" s="267"/>
      <c r="D27" s="118">
        <f>'דוח ביקורת'!D28</f>
        <v>0</v>
      </c>
      <c r="E27" s="118">
        <f>'דוח ביקורת'!E28</f>
        <v>0</v>
      </c>
      <c r="F27" s="204">
        <f>מבקר!Q7</f>
        <v>0</v>
      </c>
      <c r="G27" s="205"/>
      <c r="H27" s="204">
        <f>מבקר!S7</f>
        <v>0</v>
      </c>
      <c r="I27" s="205"/>
      <c r="J27" s="123">
        <f>'דוח ביקורת'!K28</f>
        <v>0</v>
      </c>
      <c r="K27" s="4"/>
    </row>
    <row r="28" spans="1:11" x14ac:dyDescent="0.2">
      <c r="A28" s="18">
        <v>7</v>
      </c>
      <c r="B28" s="266">
        <f>מבקר!O8</f>
        <v>0</v>
      </c>
      <c r="C28" s="267"/>
      <c r="D28" s="118">
        <f>'דוח ביקורת'!D29</f>
        <v>0</v>
      </c>
      <c r="E28" s="118">
        <f>'דוח ביקורת'!E29</f>
        <v>0</v>
      </c>
      <c r="F28" s="204">
        <f>מבקר!Q8</f>
        <v>0</v>
      </c>
      <c r="G28" s="205"/>
      <c r="H28" s="204">
        <f>מבקר!S8</f>
        <v>0</v>
      </c>
      <c r="I28" s="205"/>
      <c r="J28" s="123">
        <f>'דוח ביקורת'!L29</f>
        <v>0</v>
      </c>
      <c r="K28" s="4"/>
    </row>
    <row r="29" spans="1:11" x14ac:dyDescent="0.2">
      <c r="A29" s="18">
        <v>8</v>
      </c>
      <c r="B29" s="266">
        <f>מבקר!O9</f>
        <v>0</v>
      </c>
      <c r="C29" s="267"/>
      <c r="D29" s="118">
        <f>'דוח ביקורת'!D30</f>
        <v>0</v>
      </c>
      <c r="E29" s="118">
        <f>'דוח ביקורת'!E30</f>
        <v>0</v>
      </c>
      <c r="F29" s="204">
        <f>מבקר!Q9</f>
        <v>0</v>
      </c>
      <c r="G29" s="205"/>
      <c r="H29" s="204">
        <f>מבקר!S9</f>
        <v>0</v>
      </c>
      <c r="I29" s="205"/>
      <c r="J29" s="123">
        <f>'דוח ביקורת'!K30</f>
        <v>0</v>
      </c>
      <c r="K29" s="4"/>
    </row>
    <row r="30" spans="1:11" x14ac:dyDescent="0.2">
      <c r="A30" s="18">
        <v>9</v>
      </c>
      <c r="B30" s="266">
        <f>מבקר!O10</f>
        <v>0</v>
      </c>
      <c r="C30" s="267"/>
      <c r="D30" s="118">
        <f>'דוח ביקורת'!D31</f>
        <v>0</v>
      </c>
      <c r="E30" s="118">
        <f>'דוח ביקורת'!E31</f>
        <v>0</v>
      </c>
      <c r="F30" s="204">
        <f>מבקר!Q10</f>
        <v>0</v>
      </c>
      <c r="G30" s="205"/>
      <c r="H30" s="204">
        <f>מבקר!S10</f>
        <v>0</v>
      </c>
      <c r="I30" s="205"/>
      <c r="J30" s="123">
        <f>'דוח ביקורת'!K31</f>
        <v>0</v>
      </c>
      <c r="K30" s="4"/>
    </row>
    <row r="31" spans="1:11" x14ac:dyDescent="0.2">
      <c r="A31" s="18">
        <v>10</v>
      </c>
      <c r="B31" s="266">
        <f>מבקר!O11</f>
        <v>0</v>
      </c>
      <c r="C31" s="267"/>
      <c r="D31" s="118">
        <f>'דוח ביקורת'!D32</f>
        <v>0</v>
      </c>
      <c r="E31" s="118">
        <f>'דוח ביקורת'!E32</f>
        <v>0</v>
      </c>
      <c r="F31" s="204">
        <f>מבקר!Q11</f>
        <v>0</v>
      </c>
      <c r="G31" s="205"/>
      <c r="H31" s="204">
        <f>מבקר!S11</f>
        <v>0</v>
      </c>
      <c r="I31" s="205"/>
      <c r="J31" s="123">
        <f>'דוח ביקורת'!L32</f>
        <v>0</v>
      </c>
      <c r="K31" s="4"/>
    </row>
    <row r="32" spans="1:11" x14ac:dyDescent="0.2">
      <c r="A32" s="18">
        <v>11</v>
      </c>
      <c r="B32" s="266">
        <f>מבקר!O12</f>
        <v>0</v>
      </c>
      <c r="C32" s="267"/>
      <c r="D32" s="118">
        <f>'דוח ביקורת'!D33</f>
        <v>0</v>
      </c>
      <c r="E32" s="118">
        <f>'דוח ביקורת'!E33</f>
        <v>0</v>
      </c>
      <c r="F32" s="204">
        <f>מבקר!Q12</f>
        <v>0</v>
      </c>
      <c r="G32" s="205"/>
      <c r="H32" s="204">
        <f>מבקר!S12</f>
        <v>0</v>
      </c>
      <c r="I32" s="205"/>
      <c r="J32" s="123">
        <f>'דוח ביקורת'!N33</f>
        <v>0</v>
      </c>
      <c r="K32" s="4"/>
    </row>
    <row r="33" spans="1:11" x14ac:dyDescent="0.2">
      <c r="A33" s="18">
        <v>12</v>
      </c>
      <c r="B33" s="266">
        <f>מבקר!O13</f>
        <v>0</v>
      </c>
      <c r="C33" s="267"/>
      <c r="D33" s="118">
        <f>'דוח ביקורת'!D34</f>
        <v>0</v>
      </c>
      <c r="E33" s="118">
        <f>'דוח ביקורת'!E34</f>
        <v>0</v>
      </c>
      <c r="F33" s="204">
        <f>מבקר!Q13</f>
        <v>0</v>
      </c>
      <c r="G33" s="205"/>
      <c r="H33" s="204">
        <f>מבקר!S13</f>
        <v>0</v>
      </c>
      <c r="I33" s="205"/>
      <c r="J33" s="123">
        <f>'דוח ביקורת'!N34</f>
        <v>0</v>
      </c>
      <c r="K33" s="4"/>
    </row>
    <row r="34" spans="1:11" x14ac:dyDescent="0.2">
      <c r="A34" s="18">
        <v>13</v>
      </c>
      <c r="B34" s="266">
        <f>מבקר!O14</f>
        <v>0</v>
      </c>
      <c r="C34" s="267"/>
      <c r="D34" s="118">
        <f>'דוח ביקורת'!D35</f>
        <v>0</v>
      </c>
      <c r="E34" s="118">
        <f>'דוח ביקורת'!E35</f>
        <v>0</v>
      </c>
      <c r="F34" s="204">
        <f>מבקר!Q14</f>
        <v>0</v>
      </c>
      <c r="G34" s="205"/>
      <c r="H34" s="204">
        <f>מבקר!S14</f>
        <v>0</v>
      </c>
      <c r="I34" s="205"/>
      <c r="J34" s="123">
        <f>'דוח ביקורת'!M35</f>
        <v>0</v>
      </c>
      <c r="K34" s="4"/>
    </row>
    <row r="35" spans="1:11" x14ac:dyDescent="0.2">
      <c r="A35" s="18">
        <v>14</v>
      </c>
      <c r="B35" s="266">
        <f>מבקר!O15</f>
        <v>0</v>
      </c>
      <c r="C35" s="267"/>
      <c r="D35" s="118">
        <f>'דוח ביקורת'!D36</f>
        <v>0</v>
      </c>
      <c r="E35" s="118">
        <f>'דוח ביקורת'!E36</f>
        <v>0</v>
      </c>
      <c r="F35" s="204">
        <f>מבקר!Q15</f>
        <v>0</v>
      </c>
      <c r="G35" s="205"/>
      <c r="H35" s="204">
        <f>מבקר!S15</f>
        <v>0</v>
      </c>
      <c r="I35" s="205"/>
      <c r="J35" s="123">
        <f>'דוח ביקורת'!K36</f>
        <v>0</v>
      </c>
      <c r="K35" s="4"/>
    </row>
    <row r="36" spans="1:11" x14ac:dyDescent="0.2">
      <c r="A36" s="18">
        <v>15</v>
      </c>
      <c r="B36" s="266">
        <f>מבקר!O16</f>
        <v>0</v>
      </c>
      <c r="C36" s="267"/>
      <c r="D36" s="118">
        <f>'דוח ביקורת'!D37</f>
        <v>0</v>
      </c>
      <c r="E36" s="118">
        <f>'דוח ביקורת'!E37</f>
        <v>0</v>
      </c>
      <c r="F36" s="204">
        <f>מבקר!Q16</f>
        <v>0</v>
      </c>
      <c r="G36" s="205"/>
      <c r="H36" s="204">
        <f>מבקר!S16</f>
        <v>0</v>
      </c>
      <c r="I36" s="205"/>
      <c r="J36" s="123">
        <f>'דוח ביקורת'!L37</f>
        <v>0</v>
      </c>
      <c r="K36" s="4"/>
    </row>
    <row r="37" spans="1:11" x14ac:dyDescent="0.2">
      <c r="A37" s="18">
        <v>16</v>
      </c>
      <c r="B37" s="266">
        <f>מבקר!O17</f>
        <v>0</v>
      </c>
      <c r="C37" s="267"/>
      <c r="D37" s="118">
        <f>'דוח ביקורת'!D38</f>
        <v>0</v>
      </c>
      <c r="E37" s="118">
        <f>'דוח ביקורת'!E38</f>
        <v>0</v>
      </c>
      <c r="F37" s="204">
        <f>מבקר!Q17</f>
        <v>0</v>
      </c>
      <c r="G37" s="205"/>
      <c r="H37" s="204">
        <f>מבקר!S17</f>
        <v>0</v>
      </c>
      <c r="I37" s="205"/>
      <c r="J37" s="123">
        <f>'דוח ביקורת'!K38</f>
        <v>0</v>
      </c>
      <c r="K37" s="4"/>
    </row>
    <row r="38" spans="1:11" x14ac:dyDescent="0.2">
      <c r="A38" s="18">
        <v>17</v>
      </c>
      <c r="B38" s="266">
        <f>מבקר!O18</f>
        <v>0</v>
      </c>
      <c r="C38" s="267"/>
      <c r="D38" s="118">
        <f>'דוח ביקורת'!D39</f>
        <v>0</v>
      </c>
      <c r="E38" s="118">
        <f>'דוח ביקורת'!E39</f>
        <v>0</v>
      </c>
      <c r="F38" s="204">
        <f>מבקר!Q18</f>
        <v>0</v>
      </c>
      <c r="G38" s="205"/>
      <c r="H38" s="204">
        <f>מבקר!S18</f>
        <v>0</v>
      </c>
      <c r="I38" s="205"/>
      <c r="J38" s="123">
        <f>'דוח ביקורת'!K39</f>
        <v>0</v>
      </c>
      <c r="K38" s="4"/>
    </row>
    <row r="39" spans="1:11" x14ac:dyDescent="0.2">
      <c r="A39" s="18">
        <v>18</v>
      </c>
      <c r="B39" s="266">
        <f>מבקר!O19</f>
        <v>0</v>
      </c>
      <c r="C39" s="267"/>
      <c r="D39" s="118">
        <f>'דוח ביקורת'!D40</f>
        <v>0</v>
      </c>
      <c r="E39" s="118">
        <f>'דוח ביקורת'!E40</f>
        <v>0</v>
      </c>
      <c r="F39" s="204">
        <f>מבקר!Q19</f>
        <v>0</v>
      </c>
      <c r="G39" s="205"/>
      <c r="H39" s="204">
        <f>מבקר!S19</f>
        <v>0</v>
      </c>
      <c r="I39" s="205"/>
      <c r="J39" s="123">
        <f>'דוח ביקורת'!L40</f>
        <v>0</v>
      </c>
      <c r="K39" s="4"/>
    </row>
    <row r="40" spans="1:11" x14ac:dyDescent="0.2">
      <c r="A40" s="18">
        <v>19</v>
      </c>
      <c r="B40" s="266">
        <f>מבקר!O20</f>
        <v>0</v>
      </c>
      <c r="C40" s="267"/>
      <c r="D40" s="118">
        <f>'דוח ביקורת'!D41</f>
        <v>0</v>
      </c>
      <c r="E40" s="118">
        <f>'דוח ביקורת'!E41</f>
        <v>0</v>
      </c>
      <c r="F40" s="204">
        <f>מבקר!Q20</f>
        <v>0</v>
      </c>
      <c r="G40" s="205"/>
      <c r="H40" s="204">
        <f>מבקר!S20</f>
        <v>0</v>
      </c>
      <c r="I40" s="205"/>
      <c r="J40" s="123">
        <f>'דוח ביקורת'!N41</f>
        <v>0</v>
      </c>
      <c r="K40" s="4"/>
    </row>
    <row r="41" spans="1:11" x14ac:dyDescent="0.2">
      <c r="A41" s="18">
        <v>20</v>
      </c>
      <c r="B41" s="266">
        <f>מבקר!O21</f>
        <v>0</v>
      </c>
      <c r="C41" s="267"/>
      <c r="D41" s="118">
        <f>'דוח ביקורת'!D42</f>
        <v>0</v>
      </c>
      <c r="E41" s="118">
        <f>'דוח ביקורת'!E42</f>
        <v>0</v>
      </c>
      <c r="F41" s="204">
        <f>מבקר!Q21</f>
        <v>0</v>
      </c>
      <c r="G41" s="205"/>
      <c r="H41" s="204">
        <f>מבקר!S21</f>
        <v>0</v>
      </c>
      <c r="I41" s="205"/>
      <c r="J41" s="123">
        <f>'דוח ביקורת'!N42</f>
        <v>0</v>
      </c>
      <c r="K41" s="4"/>
    </row>
    <row r="42" spans="1:11" x14ac:dyDescent="0.2">
      <c r="A42" s="18">
        <v>21</v>
      </c>
      <c r="B42" s="266">
        <f>מבקר!O22</f>
        <v>0</v>
      </c>
      <c r="C42" s="267"/>
      <c r="D42" s="118">
        <f>'דוח ביקורת'!D43</f>
        <v>0</v>
      </c>
      <c r="E42" s="118">
        <f>'דוח ביקורת'!E43</f>
        <v>0</v>
      </c>
      <c r="F42" s="204">
        <f>מבקר!Q22</f>
        <v>0</v>
      </c>
      <c r="G42" s="205"/>
      <c r="H42" s="204">
        <f>מבקר!S22</f>
        <v>0</v>
      </c>
      <c r="I42" s="205"/>
      <c r="J42" s="123">
        <f>'דוח ביקורת'!M43</f>
        <v>0</v>
      </c>
      <c r="K42" s="4"/>
    </row>
    <row r="43" spans="1:11" x14ac:dyDescent="0.2">
      <c r="A43" s="18">
        <v>22</v>
      </c>
      <c r="B43" s="266">
        <f>מבקר!O23</f>
        <v>0</v>
      </c>
      <c r="C43" s="267"/>
      <c r="D43" s="118">
        <f>'דוח ביקורת'!D44</f>
        <v>0</v>
      </c>
      <c r="E43" s="118">
        <f>'דוח ביקורת'!E44</f>
        <v>0</v>
      </c>
      <c r="F43" s="204">
        <f>מבקר!Q23</f>
        <v>0</v>
      </c>
      <c r="G43" s="205"/>
      <c r="H43" s="204">
        <f>מבקר!S23</f>
        <v>0</v>
      </c>
      <c r="I43" s="205"/>
      <c r="J43" s="123">
        <f>'דוח ביקורת'!K44</f>
        <v>0</v>
      </c>
      <c r="K43" s="4"/>
    </row>
    <row r="44" spans="1:11" x14ac:dyDescent="0.2">
      <c r="A44" s="18">
        <v>23</v>
      </c>
      <c r="B44" s="266">
        <f>מבקר!O24</f>
        <v>0</v>
      </c>
      <c r="C44" s="267"/>
      <c r="D44" s="118">
        <f>'דוח ביקורת'!D45</f>
        <v>0</v>
      </c>
      <c r="E44" s="118">
        <f>'דוח ביקורת'!E45</f>
        <v>0</v>
      </c>
      <c r="F44" s="204">
        <f>מבקר!Q24</f>
        <v>0</v>
      </c>
      <c r="G44" s="205"/>
      <c r="H44" s="204">
        <f>מבקר!S24</f>
        <v>0</v>
      </c>
      <c r="I44" s="205"/>
      <c r="J44" s="123">
        <f>'דוח ביקורת'!L45</f>
        <v>0</v>
      </c>
      <c r="K44" s="4"/>
    </row>
    <row r="45" spans="1:11" x14ac:dyDescent="0.2">
      <c r="A45" s="18">
        <v>24</v>
      </c>
      <c r="B45" s="266">
        <f>מבקר!O25</f>
        <v>0</v>
      </c>
      <c r="C45" s="267"/>
      <c r="D45" s="118">
        <f>'דוח ביקורת'!D46</f>
        <v>0</v>
      </c>
      <c r="E45" s="118">
        <f>'דוח ביקורת'!E46</f>
        <v>0</v>
      </c>
      <c r="F45" s="204">
        <f>מבקר!Q25</f>
        <v>0</v>
      </c>
      <c r="G45" s="205"/>
      <c r="H45" s="204">
        <f>מבקר!S25</f>
        <v>0</v>
      </c>
      <c r="I45" s="205"/>
      <c r="J45" s="123">
        <f>'דוח ביקורת'!K46</f>
        <v>0</v>
      </c>
      <c r="K45" s="4"/>
    </row>
    <row r="46" spans="1:11" x14ac:dyDescent="0.2">
      <c r="A46" s="18">
        <v>25</v>
      </c>
      <c r="B46" s="266">
        <f>מבקר!O26</f>
        <v>0</v>
      </c>
      <c r="C46" s="267"/>
      <c r="D46" s="118">
        <f>'דוח ביקורת'!D47</f>
        <v>0</v>
      </c>
      <c r="E46" s="118">
        <f>'דוח ביקורת'!E47</f>
        <v>0</v>
      </c>
      <c r="F46" s="204">
        <f>מבקר!Q26</f>
        <v>0</v>
      </c>
      <c r="G46" s="205"/>
      <c r="H46" s="204">
        <f>מבקר!S26</f>
        <v>0</v>
      </c>
      <c r="I46" s="205"/>
      <c r="J46" s="123">
        <f>'דוח ביקורת'!K47</f>
        <v>0</v>
      </c>
      <c r="K46" s="4"/>
    </row>
    <row r="47" spans="1:11" x14ac:dyDescent="0.2">
      <c r="A47" s="18">
        <v>26</v>
      </c>
      <c r="B47" s="266">
        <f>מבקר!O27</f>
        <v>0</v>
      </c>
      <c r="C47" s="267"/>
      <c r="D47" s="118">
        <f>'דוח ביקורת'!D48</f>
        <v>0</v>
      </c>
      <c r="E47" s="118">
        <f>'דוח ביקורת'!E48</f>
        <v>0</v>
      </c>
      <c r="F47" s="204">
        <f>מבקר!Q27</f>
        <v>0</v>
      </c>
      <c r="G47" s="205"/>
      <c r="H47" s="204">
        <f>מבקר!S27</f>
        <v>0</v>
      </c>
      <c r="I47" s="205"/>
      <c r="J47" s="123">
        <f>'דוח ביקורת'!L48</f>
        <v>0</v>
      </c>
      <c r="K47" s="4"/>
    </row>
    <row r="48" spans="1:11" x14ac:dyDescent="0.2">
      <c r="A48" s="18">
        <v>27</v>
      </c>
      <c r="B48" s="266">
        <f>מבקר!O28</f>
        <v>0</v>
      </c>
      <c r="C48" s="267"/>
      <c r="D48" s="118">
        <f>'דוח ביקורת'!D49</f>
        <v>0</v>
      </c>
      <c r="E48" s="118">
        <f>'דוח ביקורת'!E49</f>
        <v>0</v>
      </c>
      <c r="F48" s="204">
        <f>מבקר!Q28</f>
        <v>0</v>
      </c>
      <c r="G48" s="205"/>
      <c r="H48" s="204">
        <f>מבקר!S28</f>
        <v>0</v>
      </c>
      <c r="I48" s="205"/>
      <c r="J48" s="123">
        <f>'דוח ביקורת'!N49</f>
        <v>0</v>
      </c>
      <c r="K48" s="4"/>
    </row>
    <row r="49" spans="1:11" x14ac:dyDescent="0.2">
      <c r="A49" s="18">
        <v>28</v>
      </c>
      <c r="B49" s="266">
        <f>מבקר!O29</f>
        <v>0</v>
      </c>
      <c r="C49" s="267"/>
      <c r="D49" s="118">
        <f>'דוח ביקורת'!D50</f>
        <v>0</v>
      </c>
      <c r="E49" s="118">
        <f>'דוח ביקורת'!E50</f>
        <v>0</v>
      </c>
      <c r="F49" s="204">
        <f>מבקר!Q29</f>
        <v>0</v>
      </c>
      <c r="G49" s="205"/>
      <c r="H49" s="204">
        <f>מבקר!S29</f>
        <v>0</v>
      </c>
      <c r="I49" s="205"/>
      <c r="J49" s="123">
        <f>'דוח ביקורת'!N50</f>
        <v>0</v>
      </c>
      <c r="K49" s="4"/>
    </row>
    <row r="50" spans="1:11" x14ac:dyDescent="0.2">
      <c r="A50" s="18">
        <v>29</v>
      </c>
      <c r="B50" s="266">
        <f>מבקר!O30</f>
        <v>0</v>
      </c>
      <c r="C50" s="267"/>
      <c r="D50" s="118">
        <f>'דוח ביקורת'!D51</f>
        <v>0</v>
      </c>
      <c r="E50" s="118">
        <f>'דוח ביקורת'!E51</f>
        <v>0</v>
      </c>
      <c r="F50" s="204">
        <f>מבקר!Q30</f>
        <v>0</v>
      </c>
      <c r="G50" s="205"/>
      <c r="H50" s="204">
        <f>מבקר!S30</f>
        <v>0</v>
      </c>
      <c r="I50" s="205"/>
      <c r="J50" s="123">
        <f>'דוח ביקורת'!M51</f>
        <v>0</v>
      </c>
      <c r="K50" s="4"/>
    </row>
    <row r="51" spans="1:11" x14ac:dyDescent="0.2">
      <c r="A51" s="18">
        <v>30</v>
      </c>
      <c r="B51" s="266">
        <f>מבקר!O31</f>
        <v>0</v>
      </c>
      <c r="C51" s="267"/>
      <c r="D51" s="118">
        <f>'דוח ביקורת'!D52</f>
        <v>0</v>
      </c>
      <c r="E51" s="118">
        <f>'דוח ביקורת'!E52</f>
        <v>0</v>
      </c>
      <c r="F51" s="204">
        <f>מבקר!Q31</f>
        <v>0</v>
      </c>
      <c r="G51" s="205"/>
      <c r="H51" s="204">
        <f>מבקר!S31</f>
        <v>0</v>
      </c>
      <c r="I51" s="205"/>
      <c r="J51" s="123">
        <f>'דוח ביקורת'!K52</f>
        <v>0</v>
      </c>
      <c r="K51" s="4"/>
    </row>
    <row r="52" spans="1:11" x14ac:dyDescent="0.2">
      <c r="A52" s="18">
        <v>31</v>
      </c>
      <c r="B52" s="266">
        <f>מבקר!O32</f>
        <v>0</v>
      </c>
      <c r="C52" s="267"/>
      <c r="D52" s="118">
        <f>'דוח ביקורת'!D53</f>
        <v>0</v>
      </c>
      <c r="E52" s="118">
        <f>'דוח ביקורת'!E53</f>
        <v>0</v>
      </c>
      <c r="F52" s="204">
        <f>מבקר!Q32</f>
        <v>0</v>
      </c>
      <c r="G52" s="205"/>
      <c r="H52" s="204">
        <f>מבקר!S32</f>
        <v>0</v>
      </c>
      <c r="I52" s="205"/>
      <c r="J52" s="123">
        <f>'דוח ביקורת'!L53</f>
        <v>0</v>
      </c>
      <c r="K52" s="4"/>
    </row>
    <row r="53" spans="1:11" x14ac:dyDescent="0.2">
      <c r="A53" s="18">
        <v>32</v>
      </c>
      <c r="B53" s="266">
        <f>מבקר!O33</f>
        <v>0</v>
      </c>
      <c r="C53" s="267"/>
      <c r="D53" s="118">
        <f>'דוח ביקורת'!D54</f>
        <v>0</v>
      </c>
      <c r="E53" s="118">
        <f>'דוח ביקורת'!E54</f>
        <v>0</v>
      </c>
      <c r="F53" s="204">
        <f>מבקר!Q33</f>
        <v>0</v>
      </c>
      <c r="G53" s="205"/>
      <c r="H53" s="204">
        <f>מבקר!S33</f>
        <v>0</v>
      </c>
      <c r="I53" s="205"/>
      <c r="J53" s="123">
        <f>'דוח ביקורת'!K54</f>
        <v>0</v>
      </c>
      <c r="K53" s="4"/>
    </row>
    <row r="54" spans="1:11" x14ac:dyDescent="0.2">
      <c r="A54" s="18">
        <v>33</v>
      </c>
      <c r="B54" s="266">
        <f>מבקר!O34</f>
        <v>0</v>
      </c>
      <c r="C54" s="267"/>
      <c r="D54" s="118">
        <f>'דוח ביקורת'!D55</f>
        <v>0</v>
      </c>
      <c r="E54" s="118">
        <f>'דוח ביקורת'!E55</f>
        <v>0</v>
      </c>
      <c r="F54" s="204">
        <f>מבקר!Q34</f>
        <v>0</v>
      </c>
      <c r="G54" s="205"/>
      <c r="H54" s="204">
        <f>מבקר!S34</f>
        <v>0</v>
      </c>
      <c r="I54" s="205"/>
      <c r="J54" s="123">
        <f>'דוח ביקורת'!K55</f>
        <v>0</v>
      </c>
      <c r="K54" s="4"/>
    </row>
    <row r="55" spans="1:11" x14ac:dyDescent="0.2">
      <c r="A55" s="18">
        <v>34</v>
      </c>
      <c r="B55" s="266">
        <f>מבקר!O35</f>
        <v>0</v>
      </c>
      <c r="C55" s="267"/>
      <c r="D55" s="118">
        <f>'דוח ביקורת'!D56</f>
        <v>0</v>
      </c>
      <c r="E55" s="118">
        <f>'דוח ביקורת'!E56</f>
        <v>0</v>
      </c>
      <c r="F55" s="204">
        <f>מבקר!Q35</f>
        <v>0</v>
      </c>
      <c r="G55" s="205"/>
      <c r="H55" s="204">
        <f>מבקר!S35</f>
        <v>0</v>
      </c>
      <c r="I55" s="205"/>
      <c r="J55" s="123">
        <f>'דוח ביקורת'!L56</f>
        <v>0</v>
      </c>
      <c r="K55" s="4"/>
    </row>
    <row r="56" spans="1:11" x14ac:dyDescent="0.2">
      <c r="A56" s="18">
        <v>35</v>
      </c>
      <c r="B56" s="266">
        <f>מבקר!O36</f>
        <v>0</v>
      </c>
      <c r="C56" s="267"/>
      <c r="D56" s="118">
        <f>'דוח ביקורת'!D57</f>
        <v>0</v>
      </c>
      <c r="E56" s="118">
        <f>'דוח ביקורת'!E57</f>
        <v>0</v>
      </c>
      <c r="F56" s="204">
        <f>מבקר!Q36</f>
        <v>0</v>
      </c>
      <c r="G56" s="205"/>
      <c r="H56" s="204">
        <f>מבקר!S36</f>
        <v>0</v>
      </c>
      <c r="I56" s="205"/>
      <c r="J56" s="123">
        <f>'דוח ביקורת'!N57</f>
        <v>0</v>
      </c>
      <c r="K56" s="4"/>
    </row>
    <row r="57" spans="1:11" x14ac:dyDescent="0.2">
      <c r="A57" s="18">
        <v>36</v>
      </c>
      <c r="B57" s="266">
        <f>מבקר!O37</f>
        <v>0</v>
      </c>
      <c r="C57" s="267"/>
      <c r="D57" s="118">
        <f>'דוח ביקורת'!D58</f>
        <v>0</v>
      </c>
      <c r="E57" s="118">
        <f>'דוח ביקורת'!E58</f>
        <v>0</v>
      </c>
      <c r="F57" s="204">
        <f>מבקר!Q37</f>
        <v>0</v>
      </c>
      <c r="G57" s="205"/>
      <c r="H57" s="204">
        <f>מבקר!S37</f>
        <v>0</v>
      </c>
      <c r="I57" s="205"/>
      <c r="J57" s="123">
        <f>'דוח ביקורת'!N58</f>
        <v>0</v>
      </c>
      <c r="K57" s="4"/>
    </row>
    <row r="58" spans="1:11" x14ac:dyDescent="0.2">
      <c r="A58" s="18">
        <v>37</v>
      </c>
      <c r="B58" s="266">
        <f>מבקר!O38</f>
        <v>0</v>
      </c>
      <c r="C58" s="267"/>
      <c r="D58" s="118">
        <f>'דוח ביקורת'!D59</f>
        <v>0</v>
      </c>
      <c r="E58" s="118">
        <f>'דוח ביקורת'!E59</f>
        <v>0</v>
      </c>
      <c r="F58" s="204">
        <f>מבקר!Q38</f>
        <v>0</v>
      </c>
      <c r="G58" s="205"/>
      <c r="H58" s="204">
        <f>מבקר!S38</f>
        <v>0</v>
      </c>
      <c r="I58" s="205"/>
      <c r="J58" s="123">
        <f>'דוח ביקורת'!M59</f>
        <v>0</v>
      </c>
      <c r="K58" s="4"/>
    </row>
    <row r="59" spans="1:11" x14ac:dyDescent="0.2">
      <c r="A59" s="18">
        <v>38</v>
      </c>
      <c r="B59" s="266">
        <f>מבקר!O39</f>
        <v>0</v>
      </c>
      <c r="C59" s="267"/>
      <c r="D59" s="118">
        <f>'דוח ביקורת'!D60</f>
        <v>0</v>
      </c>
      <c r="E59" s="118">
        <f>'דוח ביקורת'!E60</f>
        <v>0</v>
      </c>
      <c r="F59" s="204">
        <f>מבקר!Q39</f>
        <v>0</v>
      </c>
      <c r="G59" s="205"/>
      <c r="H59" s="204">
        <f>מבקר!S39</f>
        <v>0</v>
      </c>
      <c r="I59" s="205"/>
      <c r="J59" s="123">
        <f>'דוח ביקורת'!K60</f>
        <v>0</v>
      </c>
      <c r="K59" s="4"/>
    </row>
    <row r="60" spans="1:11" x14ac:dyDescent="0.2">
      <c r="A60" s="18">
        <v>39</v>
      </c>
      <c r="B60" s="266">
        <f>מבקר!O40</f>
        <v>0</v>
      </c>
      <c r="C60" s="267"/>
      <c r="D60" s="118">
        <f>'דוח ביקורת'!D61</f>
        <v>0</v>
      </c>
      <c r="E60" s="118">
        <f>'דוח ביקורת'!E61</f>
        <v>0</v>
      </c>
      <c r="F60" s="204">
        <f>מבקר!Q40</f>
        <v>0</v>
      </c>
      <c r="G60" s="205"/>
      <c r="H60" s="204">
        <f>מבקר!S40</f>
        <v>0</v>
      </c>
      <c r="I60" s="205"/>
      <c r="J60" s="123">
        <f>'דוח ביקורת'!L61</f>
        <v>0</v>
      </c>
      <c r="K60" s="4"/>
    </row>
    <row r="61" spans="1:11" x14ac:dyDescent="0.2">
      <c r="A61" s="18">
        <v>40</v>
      </c>
      <c r="B61" s="266">
        <f>מבקר!O41</f>
        <v>0</v>
      </c>
      <c r="C61" s="267"/>
      <c r="D61" s="118">
        <f>'דוח ביקורת'!D62</f>
        <v>0</v>
      </c>
      <c r="E61" s="118">
        <f>'דוח ביקורת'!E62</f>
        <v>0</v>
      </c>
      <c r="F61" s="204">
        <f>מבקר!Q41</f>
        <v>0</v>
      </c>
      <c r="G61" s="205"/>
      <c r="H61" s="204">
        <f>מבקר!S41</f>
        <v>0</v>
      </c>
      <c r="I61" s="205"/>
      <c r="J61" s="123">
        <f>'דוח ביקורת'!K62</f>
        <v>0</v>
      </c>
      <c r="K61" s="4"/>
    </row>
    <row r="62" spans="1:11" x14ac:dyDescent="0.2">
      <c r="A62" s="18">
        <v>41</v>
      </c>
      <c r="B62" s="266">
        <f>מבקר!O42</f>
        <v>0</v>
      </c>
      <c r="C62" s="267"/>
      <c r="D62" s="118">
        <f>'דוח ביקורת'!D63</f>
        <v>0</v>
      </c>
      <c r="E62" s="118">
        <f>'דוח ביקורת'!E63</f>
        <v>0</v>
      </c>
      <c r="F62" s="204">
        <f>מבקר!Q42</f>
        <v>0</v>
      </c>
      <c r="G62" s="205"/>
      <c r="H62" s="204">
        <f>מבקר!S42</f>
        <v>0</v>
      </c>
      <c r="I62" s="205"/>
      <c r="J62" s="123">
        <f>'דוח ביקורת'!K63</f>
        <v>0</v>
      </c>
      <c r="K62" s="4"/>
    </row>
    <row r="63" spans="1:11" x14ac:dyDescent="0.2">
      <c r="A63" s="18">
        <v>42</v>
      </c>
      <c r="B63" s="266">
        <f>מבקר!O43</f>
        <v>0</v>
      </c>
      <c r="C63" s="267"/>
      <c r="D63" s="118">
        <f>'דוח ביקורת'!D64</f>
        <v>0</v>
      </c>
      <c r="E63" s="118">
        <f>'דוח ביקורת'!E64</f>
        <v>0</v>
      </c>
      <c r="F63" s="204">
        <f>מבקר!Q43</f>
        <v>0</v>
      </c>
      <c r="G63" s="205"/>
      <c r="H63" s="204">
        <f>מבקר!S43</f>
        <v>0</v>
      </c>
      <c r="I63" s="205"/>
      <c r="J63" s="123">
        <f>'דוח ביקורת'!L64</f>
        <v>0</v>
      </c>
      <c r="K63" s="4"/>
    </row>
    <row r="64" spans="1:11" x14ac:dyDescent="0.2">
      <c r="A64" s="18">
        <v>43</v>
      </c>
      <c r="B64" s="266">
        <f>מבקר!O44</f>
        <v>0</v>
      </c>
      <c r="C64" s="267"/>
      <c r="D64" s="118">
        <f>'דוח ביקורת'!D65</f>
        <v>0</v>
      </c>
      <c r="E64" s="118">
        <f>'דוח ביקורת'!E65</f>
        <v>0</v>
      </c>
      <c r="F64" s="204">
        <f>מבקר!Q44</f>
        <v>0</v>
      </c>
      <c r="G64" s="205"/>
      <c r="H64" s="204">
        <f>מבקר!S44</f>
        <v>0</v>
      </c>
      <c r="I64" s="205"/>
      <c r="J64" s="123">
        <f>'דוח ביקורת'!N65</f>
        <v>0</v>
      </c>
      <c r="K64" s="4"/>
    </row>
    <row r="65" spans="1:11" x14ac:dyDescent="0.2">
      <c r="A65" s="18">
        <v>44</v>
      </c>
      <c r="B65" s="266">
        <f>מבקר!O45</f>
        <v>0</v>
      </c>
      <c r="C65" s="267"/>
      <c r="D65" s="118">
        <f>'דוח ביקורת'!D66</f>
        <v>0</v>
      </c>
      <c r="E65" s="118">
        <f>'דוח ביקורת'!E66</f>
        <v>0</v>
      </c>
      <c r="F65" s="204">
        <f>מבקר!Q45</f>
        <v>0</v>
      </c>
      <c r="G65" s="205"/>
      <c r="H65" s="204">
        <f>מבקר!S45</f>
        <v>0</v>
      </c>
      <c r="I65" s="205"/>
      <c r="J65" s="123">
        <f>'דוח ביקורת'!N66</f>
        <v>0</v>
      </c>
      <c r="K65" s="4"/>
    </row>
    <row r="66" spans="1:11" x14ac:dyDescent="0.2">
      <c r="A66" s="18">
        <v>45</v>
      </c>
      <c r="B66" s="266">
        <f>מבקר!O46</f>
        <v>0</v>
      </c>
      <c r="C66" s="267"/>
      <c r="D66" s="118">
        <f>'דוח ביקורת'!D67</f>
        <v>0</v>
      </c>
      <c r="E66" s="118">
        <f>'דוח ביקורת'!E67</f>
        <v>0</v>
      </c>
      <c r="F66" s="204">
        <f>מבקר!Q46</f>
        <v>0</v>
      </c>
      <c r="G66" s="205"/>
      <c r="H66" s="204">
        <f>מבקר!S46</f>
        <v>0</v>
      </c>
      <c r="I66" s="205"/>
      <c r="J66" s="123">
        <f>'דוח ביקורת'!M67</f>
        <v>0</v>
      </c>
      <c r="K66" s="4"/>
    </row>
    <row r="67" spans="1:11" x14ac:dyDescent="0.2">
      <c r="A67" s="18">
        <v>46</v>
      </c>
      <c r="B67" s="266">
        <f>מבקר!O47</f>
        <v>0</v>
      </c>
      <c r="C67" s="267"/>
      <c r="D67" s="118">
        <f>'דוח ביקורת'!D68</f>
        <v>0</v>
      </c>
      <c r="E67" s="118">
        <f>'דוח ביקורת'!E68</f>
        <v>0</v>
      </c>
      <c r="F67" s="204">
        <f>מבקר!Q47</f>
        <v>0</v>
      </c>
      <c r="G67" s="205"/>
      <c r="H67" s="204">
        <f>מבקר!S47</f>
        <v>0</v>
      </c>
      <c r="I67" s="205"/>
      <c r="J67" s="123">
        <f>'דוח ביקורת'!K68</f>
        <v>0</v>
      </c>
      <c r="K67" s="4"/>
    </row>
    <row r="68" spans="1:11" x14ac:dyDescent="0.2">
      <c r="A68" s="18">
        <v>47</v>
      </c>
      <c r="B68" s="266">
        <f>מבקר!O48</f>
        <v>0</v>
      </c>
      <c r="C68" s="267"/>
      <c r="D68" s="118">
        <f>'דוח ביקורת'!D69</f>
        <v>0</v>
      </c>
      <c r="E68" s="118">
        <f>'דוח ביקורת'!E69</f>
        <v>0</v>
      </c>
      <c r="F68" s="204">
        <f>מבקר!Q48</f>
        <v>0</v>
      </c>
      <c r="G68" s="205"/>
      <c r="H68" s="204">
        <f>מבקר!S48</f>
        <v>0</v>
      </c>
      <c r="I68" s="205"/>
      <c r="J68" s="123">
        <f>'דוח ביקורת'!L69</f>
        <v>0</v>
      </c>
      <c r="K68" s="4"/>
    </row>
    <row r="69" spans="1:11" x14ac:dyDescent="0.2">
      <c r="A69" s="18">
        <v>48</v>
      </c>
      <c r="B69" s="266">
        <f>מבקר!O49</f>
        <v>0</v>
      </c>
      <c r="C69" s="267"/>
      <c r="D69" s="118">
        <f>'דוח ביקורת'!D70</f>
        <v>0</v>
      </c>
      <c r="E69" s="118">
        <f>'דוח ביקורת'!E70</f>
        <v>0</v>
      </c>
      <c r="F69" s="204">
        <f>מבקר!Q49</f>
        <v>0</v>
      </c>
      <c r="G69" s="205"/>
      <c r="H69" s="204">
        <f>מבקר!S49</f>
        <v>0</v>
      </c>
      <c r="I69" s="205"/>
      <c r="J69" s="123">
        <f>'דוח ביקורת'!K70</f>
        <v>0</v>
      </c>
      <c r="K69" s="4"/>
    </row>
    <row r="70" spans="1:11" x14ac:dyDescent="0.2">
      <c r="A70" s="18">
        <v>49</v>
      </c>
      <c r="B70" s="266">
        <f>מבקר!O50</f>
        <v>0</v>
      </c>
      <c r="C70" s="267"/>
      <c r="D70" s="118">
        <f>'דוח ביקורת'!D71</f>
        <v>0</v>
      </c>
      <c r="E70" s="118">
        <f>'דוח ביקורת'!E71</f>
        <v>0</v>
      </c>
      <c r="F70" s="204">
        <f>מבקר!Q50</f>
        <v>0</v>
      </c>
      <c r="G70" s="205"/>
      <c r="H70" s="204">
        <f>מבקר!S50</f>
        <v>0</v>
      </c>
      <c r="I70" s="205"/>
      <c r="J70" s="123">
        <f>'דוח ביקורת'!K71</f>
        <v>0</v>
      </c>
      <c r="K70" s="4"/>
    </row>
    <row r="71" spans="1:11" x14ac:dyDescent="0.2">
      <c r="A71" s="18">
        <v>50</v>
      </c>
      <c r="B71" s="266">
        <f>מבקר!O51</f>
        <v>0</v>
      </c>
      <c r="C71" s="267"/>
      <c r="D71" s="118">
        <f>'דוח ביקורת'!D72</f>
        <v>0</v>
      </c>
      <c r="E71" s="118">
        <f>'דוח ביקורת'!E72</f>
        <v>0</v>
      </c>
      <c r="F71" s="204">
        <f>מבקר!Q51</f>
        <v>0</v>
      </c>
      <c r="G71" s="205"/>
      <c r="H71" s="204">
        <f>מבקר!S51</f>
        <v>0</v>
      </c>
      <c r="I71" s="205"/>
      <c r="J71" s="123">
        <f>'דוח ביקורת'!L72</f>
        <v>0</v>
      </c>
      <c r="K71" s="4"/>
    </row>
    <row r="72" spans="1:11" x14ac:dyDescent="0.2">
      <c r="A72" s="18">
        <v>51</v>
      </c>
      <c r="B72" s="266">
        <f>מבקר!O52</f>
        <v>0</v>
      </c>
      <c r="C72" s="267"/>
      <c r="D72" s="118">
        <f>'דוח ביקורת'!D73</f>
        <v>0</v>
      </c>
      <c r="E72" s="118">
        <f>'דוח ביקורת'!E73</f>
        <v>0</v>
      </c>
      <c r="F72" s="204">
        <f>מבקר!Q52</f>
        <v>0</v>
      </c>
      <c r="G72" s="205"/>
      <c r="H72" s="204">
        <f>מבקר!S52</f>
        <v>0</v>
      </c>
      <c r="I72" s="205"/>
      <c r="J72" s="123">
        <f>'דוח ביקורת'!N73</f>
        <v>0</v>
      </c>
      <c r="K72" s="4"/>
    </row>
    <row r="73" spans="1:11" x14ac:dyDescent="0.2">
      <c r="A73" s="18">
        <v>52</v>
      </c>
      <c r="B73" s="266">
        <f>מבקר!O53</f>
        <v>0</v>
      </c>
      <c r="C73" s="267"/>
      <c r="D73" s="118">
        <f>'דוח ביקורת'!D74</f>
        <v>0</v>
      </c>
      <c r="E73" s="118">
        <f>'דוח ביקורת'!E74</f>
        <v>0</v>
      </c>
      <c r="F73" s="204">
        <f>מבקר!Q53</f>
        <v>0</v>
      </c>
      <c r="G73" s="205"/>
      <c r="H73" s="204">
        <f>מבקר!S53</f>
        <v>0</v>
      </c>
      <c r="I73" s="205"/>
      <c r="J73" s="123">
        <f>'דוח ביקורת'!N74</f>
        <v>0</v>
      </c>
      <c r="K73" s="4"/>
    </row>
    <row r="74" spans="1:11" ht="15" thickBot="1" x14ac:dyDescent="0.25">
      <c r="A74" s="19">
        <v>53</v>
      </c>
      <c r="B74" s="266">
        <f>מבקר!O54</f>
        <v>0</v>
      </c>
      <c r="C74" s="267"/>
      <c r="D74" s="118">
        <f>'דוח ביקורת'!D75</f>
        <v>0</v>
      </c>
      <c r="E74" s="118">
        <f>'דוח ביקורת'!E75</f>
        <v>0</v>
      </c>
      <c r="F74" s="204">
        <f>מבקר!Q54</f>
        <v>0</v>
      </c>
      <c r="G74" s="205"/>
      <c r="H74" s="204">
        <f>מבקר!S54</f>
        <v>0</v>
      </c>
      <c r="I74" s="205"/>
      <c r="J74" s="123">
        <f>'דוח ביקורת'!M75</f>
        <v>0</v>
      </c>
      <c r="K74" s="4"/>
    </row>
    <row r="75" spans="1:11" x14ac:dyDescent="0.2">
      <c r="A75" s="18">
        <v>54</v>
      </c>
      <c r="B75" s="266">
        <f>מבקר!O55</f>
        <v>0</v>
      </c>
      <c r="C75" s="267"/>
      <c r="D75" s="118">
        <f>'דוח ביקורת'!D76</f>
        <v>0</v>
      </c>
      <c r="E75" s="118">
        <f>'דוח ביקורת'!E76</f>
        <v>0</v>
      </c>
      <c r="F75" s="204">
        <f>מבקר!Q55</f>
        <v>0</v>
      </c>
      <c r="G75" s="205"/>
      <c r="H75" s="204">
        <f>מבקר!S55</f>
        <v>0</v>
      </c>
      <c r="I75" s="205"/>
      <c r="J75" s="123">
        <f>'דוח ביקורת'!K76</f>
        <v>0</v>
      </c>
      <c r="K75" s="4"/>
    </row>
    <row r="76" spans="1:11" x14ac:dyDescent="0.2">
      <c r="A76" s="18">
        <v>55</v>
      </c>
      <c r="B76" s="266">
        <f>מבקר!O56</f>
        <v>0</v>
      </c>
      <c r="C76" s="267"/>
      <c r="D76" s="118">
        <f>'דוח ביקורת'!D77</f>
        <v>0</v>
      </c>
      <c r="E76" s="118">
        <f>'דוח ביקורת'!E77</f>
        <v>0</v>
      </c>
      <c r="F76" s="204">
        <f>מבקר!Q56</f>
        <v>0</v>
      </c>
      <c r="G76" s="205"/>
      <c r="H76" s="204">
        <f>מבקר!S56</f>
        <v>0</v>
      </c>
      <c r="I76" s="205"/>
      <c r="J76" s="123">
        <f>'דוח ביקורת'!L77</f>
        <v>0</v>
      </c>
      <c r="K76" s="4"/>
    </row>
    <row r="77" spans="1:11" x14ac:dyDescent="0.2">
      <c r="A77" s="18">
        <v>56</v>
      </c>
      <c r="B77" s="266">
        <f>מבקר!O57</f>
        <v>0</v>
      </c>
      <c r="C77" s="267"/>
      <c r="D77" s="118">
        <f>'דוח ביקורת'!D78</f>
        <v>0</v>
      </c>
      <c r="E77" s="118">
        <f>'דוח ביקורת'!E78</f>
        <v>0</v>
      </c>
      <c r="F77" s="204">
        <f>מבקר!Q57</f>
        <v>0</v>
      </c>
      <c r="G77" s="205"/>
      <c r="H77" s="204">
        <f>מבקר!S57</f>
        <v>0</v>
      </c>
      <c r="I77" s="205"/>
      <c r="J77" s="123">
        <f>'דוח ביקורת'!K78</f>
        <v>0</v>
      </c>
      <c r="K77" s="4"/>
    </row>
    <row r="78" spans="1:11" x14ac:dyDescent="0.2">
      <c r="A78" s="18">
        <v>57</v>
      </c>
      <c r="B78" s="266">
        <f>מבקר!O58</f>
        <v>0</v>
      </c>
      <c r="C78" s="267"/>
      <c r="D78" s="118">
        <f>'דוח ביקורת'!D79</f>
        <v>0</v>
      </c>
      <c r="E78" s="118">
        <f>'דוח ביקורת'!E79</f>
        <v>0</v>
      </c>
      <c r="F78" s="204">
        <f>מבקר!Q58</f>
        <v>0</v>
      </c>
      <c r="G78" s="205"/>
      <c r="H78" s="204">
        <f>מבקר!S58</f>
        <v>0</v>
      </c>
      <c r="I78" s="205"/>
      <c r="J78" s="123">
        <f>'דוח ביקורת'!K79</f>
        <v>0</v>
      </c>
      <c r="K78" s="4"/>
    </row>
    <row r="79" spans="1:11" x14ac:dyDescent="0.2">
      <c r="A79" s="18">
        <v>58</v>
      </c>
      <c r="B79" s="266">
        <f>מבקר!O59</f>
        <v>0</v>
      </c>
      <c r="C79" s="267"/>
      <c r="D79" s="118">
        <f>'דוח ביקורת'!D80</f>
        <v>0</v>
      </c>
      <c r="E79" s="118">
        <f>'דוח ביקורת'!E80</f>
        <v>0</v>
      </c>
      <c r="F79" s="204">
        <f>מבקר!Q59</f>
        <v>0</v>
      </c>
      <c r="G79" s="205"/>
      <c r="H79" s="204">
        <f>מבקר!S59</f>
        <v>0</v>
      </c>
      <c r="I79" s="205"/>
      <c r="J79" s="123">
        <f>'דוח ביקורת'!L80</f>
        <v>0</v>
      </c>
      <c r="K79" s="4"/>
    </row>
    <row r="80" spans="1:11" x14ac:dyDescent="0.2">
      <c r="A80" s="18">
        <v>59</v>
      </c>
      <c r="B80" s="266">
        <f>מבקר!O60</f>
        <v>0</v>
      </c>
      <c r="C80" s="267"/>
      <c r="D80" s="118">
        <f>'דוח ביקורת'!D81</f>
        <v>0</v>
      </c>
      <c r="E80" s="118">
        <f>'דוח ביקורת'!E81</f>
        <v>0</v>
      </c>
      <c r="F80" s="204">
        <f>מבקר!Q60</f>
        <v>0</v>
      </c>
      <c r="G80" s="205"/>
      <c r="H80" s="204">
        <f>מבקר!S60</f>
        <v>0</v>
      </c>
      <c r="I80" s="205"/>
      <c r="J80" s="123">
        <f>'דוח ביקורת'!N81</f>
        <v>0</v>
      </c>
      <c r="K80" s="4"/>
    </row>
    <row r="81" spans="1:11" x14ac:dyDescent="0.2">
      <c r="A81" s="18">
        <v>60</v>
      </c>
      <c r="B81" s="266">
        <f>מבקר!O61</f>
        <v>0</v>
      </c>
      <c r="C81" s="267"/>
      <c r="D81" s="118">
        <f>'דוח ביקורת'!D82</f>
        <v>0</v>
      </c>
      <c r="E81" s="118">
        <f>'דוח ביקורת'!E82</f>
        <v>0</v>
      </c>
      <c r="F81" s="204">
        <f>מבקר!Q61</f>
        <v>0</v>
      </c>
      <c r="G81" s="205"/>
      <c r="H81" s="204">
        <f>מבקר!S61</f>
        <v>0</v>
      </c>
      <c r="I81" s="205"/>
      <c r="J81" s="123">
        <f>'דוח ביקורת'!N82</f>
        <v>0</v>
      </c>
      <c r="K81" s="4"/>
    </row>
    <row r="82" spans="1:11" x14ac:dyDescent="0.2">
      <c r="A82" s="18">
        <v>61</v>
      </c>
      <c r="B82" s="266">
        <f>מבקר!O62</f>
        <v>0</v>
      </c>
      <c r="C82" s="267"/>
      <c r="D82" s="118">
        <f>'דוח ביקורת'!D83</f>
        <v>0</v>
      </c>
      <c r="E82" s="118">
        <f>'דוח ביקורת'!E83</f>
        <v>0</v>
      </c>
      <c r="F82" s="204">
        <f>מבקר!Q62</f>
        <v>0</v>
      </c>
      <c r="G82" s="205"/>
      <c r="H82" s="204">
        <f>מבקר!S62</f>
        <v>0</v>
      </c>
      <c r="I82" s="205"/>
      <c r="J82" s="123">
        <f>'דוח ביקורת'!M83</f>
        <v>0</v>
      </c>
      <c r="K82" s="4"/>
    </row>
    <row r="83" spans="1:11" x14ac:dyDescent="0.2">
      <c r="A83" s="18">
        <v>62</v>
      </c>
      <c r="B83" s="266">
        <f>מבקר!O63</f>
        <v>0</v>
      </c>
      <c r="C83" s="267"/>
      <c r="D83" s="118">
        <f>'דוח ביקורת'!D84</f>
        <v>0</v>
      </c>
      <c r="E83" s="118">
        <f>'דוח ביקורת'!E84</f>
        <v>0</v>
      </c>
      <c r="F83" s="204">
        <f>מבקר!Q63</f>
        <v>0</v>
      </c>
      <c r="G83" s="205"/>
      <c r="H83" s="204">
        <f>מבקר!S63</f>
        <v>0</v>
      </c>
      <c r="I83" s="205"/>
      <c r="J83" s="123">
        <f>'דוח ביקורת'!K84</f>
        <v>0</v>
      </c>
      <c r="K83" s="4"/>
    </row>
    <row r="84" spans="1:11" x14ac:dyDescent="0.2">
      <c r="A84" s="18">
        <v>63</v>
      </c>
      <c r="B84" s="266">
        <f>מבקר!O64</f>
        <v>0</v>
      </c>
      <c r="C84" s="267"/>
      <c r="D84" s="118">
        <f>'דוח ביקורת'!D85</f>
        <v>0</v>
      </c>
      <c r="E84" s="118">
        <f>'דוח ביקורת'!E85</f>
        <v>0</v>
      </c>
      <c r="F84" s="204">
        <f>מבקר!Q64</f>
        <v>0</v>
      </c>
      <c r="G84" s="205"/>
      <c r="H84" s="204">
        <f>מבקר!S64</f>
        <v>0</v>
      </c>
      <c r="I84" s="205"/>
      <c r="J84" s="123">
        <f>'דוח ביקורת'!L85</f>
        <v>0</v>
      </c>
      <c r="K84" s="4"/>
    </row>
    <row r="85" spans="1:11" x14ac:dyDescent="0.2">
      <c r="A85" s="18">
        <v>64</v>
      </c>
      <c r="B85" s="266">
        <f>מבקר!O65</f>
        <v>0</v>
      </c>
      <c r="C85" s="267"/>
      <c r="D85" s="118">
        <f>'דוח ביקורת'!D86</f>
        <v>0</v>
      </c>
      <c r="E85" s="118">
        <f>'דוח ביקורת'!E86</f>
        <v>0</v>
      </c>
      <c r="F85" s="204">
        <f>מבקר!Q65</f>
        <v>0</v>
      </c>
      <c r="G85" s="205"/>
      <c r="H85" s="204">
        <f>מבקר!S65</f>
        <v>0</v>
      </c>
      <c r="I85" s="205"/>
      <c r="J85" s="123">
        <f>'דוח ביקורת'!K86</f>
        <v>0</v>
      </c>
      <c r="K85" s="4"/>
    </row>
    <row r="86" spans="1:11" x14ac:dyDescent="0.2">
      <c r="A86" s="18">
        <v>65</v>
      </c>
      <c r="B86" s="266">
        <f>מבקר!O66</f>
        <v>0</v>
      </c>
      <c r="C86" s="267"/>
      <c r="D86" s="118">
        <f>'דוח ביקורת'!D87</f>
        <v>0</v>
      </c>
      <c r="E86" s="118">
        <f>'דוח ביקורת'!E87</f>
        <v>0</v>
      </c>
      <c r="F86" s="204">
        <f>מבקר!Q66</f>
        <v>0</v>
      </c>
      <c r="G86" s="205"/>
      <c r="H86" s="204">
        <f>מבקר!S66</f>
        <v>0</v>
      </c>
      <c r="I86" s="205"/>
      <c r="J86" s="123">
        <f>'דוח ביקורת'!K87</f>
        <v>0</v>
      </c>
      <c r="K86" s="4"/>
    </row>
    <row r="87" spans="1:11" x14ac:dyDescent="0.2">
      <c r="A87" s="18">
        <v>66</v>
      </c>
      <c r="B87" s="266">
        <f>מבקר!O67</f>
        <v>0</v>
      </c>
      <c r="C87" s="267"/>
      <c r="D87" s="118">
        <f>'דוח ביקורת'!D88</f>
        <v>0</v>
      </c>
      <c r="E87" s="118">
        <f>'דוח ביקורת'!E88</f>
        <v>0</v>
      </c>
      <c r="F87" s="204">
        <f>מבקר!Q67</f>
        <v>0</v>
      </c>
      <c r="G87" s="205"/>
      <c r="H87" s="204">
        <f>מבקר!S67</f>
        <v>0</v>
      </c>
      <c r="I87" s="205"/>
      <c r="J87" s="123">
        <f>'דוח ביקורת'!L88</f>
        <v>0</v>
      </c>
      <c r="K87" s="4"/>
    </row>
    <row r="88" spans="1:11" x14ac:dyDescent="0.2">
      <c r="A88" s="18">
        <v>67</v>
      </c>
      <c r="B88" s="266">
        <f>מבקר!O68</f>
        <v>0</v>
      </c>
      <c r="C88" s="267"/>
      <c r="D88" s="118">
        <f>'דוח ביקורת'!D89</f>
        <v>0</v>
      </c>
      <c r="E88" s="118">
        <f>'דוח ביקורת'!E89</f>
        <v>0</v>
      </c>
      <c r="F88" s="204">
        <f>מבקר!Q68</f>
        <v>0</v>
      </c>
      <c r="G88" s="205"/>
      <c r="H88" s="204">
        <f>מבקר!S68</f>
        <v>0</v>
      </c>
      <c r="I88" s="205"/>
      <c r="J88" s="123">
        <f>'דוח ביקורת'!N89</f>
        <v>0</v>
      </c>
      <c r="K88" s="4"/>
    </row>
    <row r="89" spans="1:11" x14ac:dyDescent="0.2">
      <c r="A89" s="18">
        <v>68</v>
      </c>
      <c r="B89" s="266">
        <f>מבקר!O69</f>
        <v>0</v>
      </c>
      <c r="C89" s="267"/>
      <c r="D89" s="118">
        <f>'דוח ביקורת'!D90</f>
        <v>0</v>
      </c>
      <c r="E89" s="118">
        <f>'דוח ביקורת'!E90</f>
        <v>0</v>
      </c>
      <c r="F89" s="204">
        <f>מבקר!Q69</f>
        <v>0</v>
      </c>
      <c r="G89" s="205"/>
      <c r="H89" s="204">
        <f>מבקר!S69</f>
        <v>0</v>
      </c>
      <c r="I89" s="205"/>
      <c r="J89" s="123">
        <f>'דוח ביקורת'!N90</f>
        <v>0</v>
      </c>
      <c r="K89" s="4"/>
    </row>
    <row r="90" spans="1:11" x14ac:dyDescent="0.2">
      <c r="A90" s="18">
        <v>69</v>
      </c>
      <c r="B90" s="266">
        <f>מבקר!O70</f>
        <v>0</v>
      </c>
      <c r="C90" s="267"/>
      <c r="D90" s="118">
        <f>'דוח ביקורת'!D91</f>
        <v>0</v>
      </c>
      <c r="E90" s="118">
        <f>'דוח ביקורת'!E91</f>
        <v>0</v>
      </c>
      <c r="F90" s="204">
        <f>מבקר!Q70</f>
        <v>0</v>
      </c>
      <c r="G90" s="205"/>
      <c r="H90" s="204">
        <f>מבקר!S70</f>
        <v>0</v>
      </c>
      <c r="I90" s="205"/>
      <c r="J90" s="123">
        <f>'דוח ביקורת'!M91</f>
        <v>0</v>
      </c>
      <c r="K90" s="4"/>
    </row>
    <row r="91" spans="1:11" x14ac:dyDescent="0.2">
      <c r="A91" s="18">
        <v>70</v>
      </c>
      <c r="B91" s="266">
        <f>מבקר!O71</f>
        <v>0</v>
      </c>
      <c r="C91" s="267"/>
      <c r="D91" s="118">
        <f>'דוח ביקורת'!D92</f>
        <v>0</v>
      </c>
      <c r="E91" s="118">
        <f>'דוח ביקורת'!E92</f>
        <v>0</v>
      </c>
      <c r="F91" s="204">
        <f>מבקר!Q71</f>
        <v>0</v>
      </c>
      <c r="G91" s="205"/>
      <c r="H91" s="204">
        <f>מבקר!S71</f>
        <v>0</v>
      </c>
      <c r="I91" s="205"/>
      <c r="J91" s="123">
        <f>'דוח ביקורת'!K92</f>
        <v>0</v>
      </c>
      <c r="K91" s="4"/>
    </row>
    <row r="92" spans="1:11" x14ac:dyDescent="0.2">
      <c r="A92" s="18">
        <v>71</v>
      </c>
      <c r="B92" s="266">
        <f>מבקר!O72</f>
        <v>0</v>
      </c>
      <c r="C92" s="267"/>
      <c r="D92" s="118">
        <f>'דוח ביקורת'!D93</f>
        <v>0</v>
      </c>
      <c r="E92" s="118">
        <f>'דוח ביקורת'!E93</f>
        <v>0</v>
      </c>
      <c r="F92" s="204">
        <f>מבקר!Q72</f>
        <v>0</v>
      </c>
      <c r="G92" s="205"/>
      <c r="H92" s="204">
        <f>מבקר!S72</f>
        <v>0</v>
      </c>
      <c r="I92" s="205"/>
      <c r="J92" s="123">
        <f>'דוח ביקורת'!L93</f>
        <v>0</v>
      </c>
      <c r="K92" s="4"/>
    </row>
    <row r="93" spans="1:11" x14ac:dyDescent="0.2">
      <c r="A93" s="18">
        <v>72</v>
      </c>
      <c r="B93" s="266">
        <f>מבקר!O73</f>
        <v>0</v>
      </c>
      <c r="C93" s="267"/>
      <c r="D93" s="118">
        <f>'דוח ביקורת'!D94</f>
        <v>0</v>
      </c>
      <c r="E93" s="118">
        <f>'דוח ביקורת'!E94</f>
        <v>0</v>
      </c>
      <c r="F93" s="204">
        <f>מבקר!Q73</f>
        <v>0</v>
      </c>
      <c r="G93" s="205"/>
      <c r="H93" s="204">
        <f>מבקר!S73</f>
        <v>0</v>
      </c>
      <c r="I93" s="205"/>
      <c r="J93" s="123">
        <f>'דוח ביקורת'!K94</f>
        <v>0</v>
      </c>
      <c r="K93" s="4"/>
    </row>
    <row r="94" spans="1:11" x14ac:dyDescent="0.2">
      <c r="A94" s="18">
        <v>73</v>
      </c>
      <c r="B94" s="266">
        <f>מבקר!O74</f>
        <v>0</v>
      </c>
      <c r="C94" s="267"/>
      <c r="D94" s="118">
        <f>'דוח ביקורת'!D95</f>
        <v>0</v>
      </c>
      <c r="E94" s="118">
        <f>'דוח ביקורת'!E95</f>
        <v>0</v>
      </c>
      <c r="F94" s="204">
        <f>מבקר!Q74</f>
        <v>0</v>
      </c>
      <c r="G94" s="205"/>
      <c r="H94" s="204">
        <f>מבקר!S74</f>
        <v>0</v>
      </c>
      <c r="I94" s="205"/>
      <c r="J94" s="123">
        <f>'דוח ביקורת'!K95</f>
        <v>0</v>
      </c>
      <c r="K94" s="4"/>
    </row>
    <row r="95" spans="1:11" x14ac:dyDescent="0.2">
      <c r="A95" s="18">
        <v>74</v>
      </c>
      <c r="B95" s="266">
        <f>מבקר!O75</f>
        <v>0</v>
      </c>
      <c r="C95" s="267"/>
      <c r="D95" s="118">
        <f>'דוח ביקורת'!D96</f>
        <v>0</v>
      </c>
      <c r="E95" s="118">
        <f>'דוח ביקורת'!E96</f>
        <v>0</v>
      </c>
      <c r="F95" s="204">
        <f>מבקר!Q75</f>
        <v>0</v>
      </c>
      <c r="G95" s="205"/>
      <c r="H95" s="204">
        <f>מבקר!S75</f>
        <v>0</v>
      </c>
      <c r="I95" s="205"/>
      <c r="J95" s="123">
        <f>'דוח ביקורת'!L96</f>
        <v>0</v>
      </c>
      <c r="K95" s="4"/>
    </row>
    <row r="96" spans="1:11" x14ac:dyDescent="0.2">
      <c r="A96" s="18">
        <v>75</v>
      </c>
      <c r="B96" s="266">
        <f>מבקר!O76</f>
        <v>0</v>
      </c>
      <c r="C96" s="267"/>
      <c r="D96" s="118">
        <f>'דוח ביקורת'!D97</f>
        <v>0</v>
      </c>
      <c r="E96" s="118">
        <f>'דוח ביקורת'!E97</f>
        <v>0</v>
      </c>
      <c r="F96" s="204">
        <f>מבקר!Q76</f>
        <v>0</v>
      </c>
      <c r="G96" s="205"/>
      <c r="H96" s="204">
        <f>מבקר!S76</f>
        <v>0</v>
      </c>
      <c r="I96" s="205"/>
      <c r="J96" s="123">
        <f>'דוח ביקורת'!N97</f>
        <v>0</v>
      </c>
      <c r="K96" s="4"/>
    </row>
    <row r="97" spans="1:11" x14ac:dyDescent="0.2">
      <c r="A97" s="18">
        <v>76</v>
      </c>
      <c r="B97" s="266">
        <f>מבקר!O77</f>
        <v>0</v>
      </c>
      <c r="C97" s="267"/>
      <c r="D97" s="118">
        <f>'דוח ביקורת'!D98</f>
        <v>0</v>
      </c>
      <c r="E97" s="118">
        <f>'דוח ביקורת'!E98</f>
        <v>0</v>
      </c>
      <c r="F97" s="204">
        <f>מבקר!Q77</f>
        <v>0</v>
      </c>
      <c r="G97" s="205"/>
      <c r="H97" s="204">
        <f>מבקר!S77</f>
        <v>0</v>
      </c>
      <c r="I97" s="205"/>
      <c r="J97" s="123">
        <f>'דוח ביקורת'!N98</f>
        <v>0</v>
      </c>
      <c r="K97" s="4"/>
    </row>
    <row r="98" spans="1:11" x14ac:dyDescent="0.2">
      <c r="A98" s="18">
        <v>77</v>
      </c>
      <c r="B98" s="266">
        <f>מבקר!O78</f>
        <v>0</v>
      </c>
      <c r="C98" s="267"/>
      <c r="D98" s="118">
        <f>'דוח ביקורת'!D99</f>
        <v>0</v>
      </c>
      <c r="E98" s="118">
        <f>'דוח ביקורת'!E99</f>
        <v>0</v>
      </c>
      <c r="F98" s="204">
        <f>מבקר!Q78</f>
        <v>0</v>
      </c>
      <c r="G98" s="205"/>
      <c r="H98" s="204">
        <f>מבקר!S78</f>
        <v>0</v>
      </c>
      <c r="I98" s="205"/>
      <c r="J98" s="123">
        <f>'דוח ביקורת'!M99</f>
        <v>0</v>
      </c>
      <c r="K98" s="4"/>
    </row>
    <row r="99" spans="1:11" x14ac:dyDescent="0.2">
      <c r="A99" s="18">
        <v>78</v>
      </c>
      <c r="B99" s="266">
        <f>מבקר!O79</f>
        <v>0</v>
      </c>
      <c r="C99" s="267"/>
      <c r="D99" s="118">
        <f>'דוח ביקורת'!D100</f>
        <v>0</v>
      </c>
      <c r="E99" s="118">
        <f>'דוח ביקורת'!E100</f>
        <v>0</v>
      </c>
      <c r="F99" s="204">
        <f>מבקר!Q79</f>
        <v>0</v>
      </c>
      <c r="G99" s="205"/>
      <c r="H99" s="204">
        <f>מבקר!S79</f>
        <v>0</v>
      </c>
      <c r="I99" s="205"/>
      <c r="J99" s="123">
        <f>'דוח ביקורת'!K100</f>
        <v>0</v>
      </c>
      <c r="K99" s="4"/>
    </row>
    <row r="100" spans="1:11" ht="15" thickBot="1" x14ac:dyDescent="0.25">
      <c r="A100" s="19">
        <v>79</v>
      </c>
      <c r="B100" s="266">
        <f>מבקר!O80</f>
        <v>0</v>
      </c>
      <c r="C100" s="267"/>
      <c r="D100" s="118" t="str">
        <f>'דוח ביקורת'!D101</f>
        <v>YO MISTER WHITE</v>
      </c>
      <c r="E100" s="118">
        <f>'דוח ביקורת'!E101</f>
        <v>0</v>
      </c>
      <c r="F100" s="204">
        <f>מבקר!Q80</f>
        <v>0</v>
      </c>
      <c r="G100" s="205"/>
      <c r="H100" s="204">
        <f>מבקר!S80</f>
        <v>0</v>
      </c>
      <c r="I100" s="205"/>
      <c r="J100" s="123">
        <f>'דוח ביקורת'!L101</f>
        <v>0</v>
      </c>
      <c r="K100" s="4"/>
    </row>
  </sheetData>
  <mergeCells count="272">
    <mergeCell ref="A7:B7"/>
    <mergeCell ref="A9:B9"/>
    <mergeCell ref="B11:E11"/>
    <mergeCell ref="G11:I11"/>
    <mergeCell ref="A1:E1"/>
    <mergeCell ref="F1:H1"/>
    <mergeCell ref="A3:C3"/>
    <mergeCell ref="A5:C5"/>
    <mergeCell ref="I1:K1"/>
    <mergeCell ref="D3:K3"/>
    <mergeCell ref="D5:K5"/>
    <mergeCell ref="C9:K9"/>
    <mergeCell ref="J11:K11"/>
    <mergeCell ref="E7:K7"/>
    <mergeCell ref="J19:J20"/>
    <mergeCell ref="A19:A20"/>
    <mergeCell ref="B19:C20"/>
    <mergeCell ref="D19:D20"/>
    <mergeCell ref="E19:E20"/>
    <mergeCell ref="F19:G20"/>
    <mergeCell ref="H19:I20"/>
    <mergeCell ref="A13:B13"/>
    <mergeCell ref="C13:E13"/>
    <mergeCell ref="G13:I13"/>
    <mergeCell ref="A15:B15"/>
    <mergeCell ref="C15:D15"/>
    <mergeCell ref="F15:H15"/>
    <mergeCell ref="A17:B17"/>
    <mergeCell ref="G17:H17"/>
    <mergeCell ref="C17:D17"/>
    <mergeCell ref="E17:F17"/>
    <mergeCell ref="J17:K17"/>
    <mergeCell ref="J13:K13"/>
    <mergeCell ref="I15:K15"/>
    <mergeCell ref="K19:K20"/>
    <mergeCell ref="B26:C26"/>
    <mergeCell ref="F26:G26"/>
    <mergeCell ref="B27:C27"/>
    <mergeCell ref="F27:G27"/>
    <mergeCell ref="H26:I26"/>
    <mergeCell ref="H27:I27"/>
    <mergeCell ref="B24:C24"/>
    <mergeCell ref="F24:G24"/>
    <mergeCell ref="B25:C25"/>
    <mergeCell ref="F25:G25"/>
    <mergeCell ref="H24:I24"/>
    <mergeCell ref="H25:I25"/>
    <mergeCell ref="B30:C30"/>
    <mergeCell ref="F30:G30"/>
    <mergeCell ref="B31:C31"/>
    <mergeCell ref="F31:G31"/>
    <mergeCell ref="H30:I30"/>
    <mergeCell ref="H31:I31"/>
    <mergeCell ref="B28:C28"/>
    <mergeCell ref="F28:G28"/>
    <mergeCell ref="B29:C29"/>
    <mergeCell ref="F29:G29"/>
    <mergeCell ref="H28:I28"/>
    <mergeCell ref="H29:I29"/>
    <mergeCell ref="B34:C34"/>
    <mergeCell ref="F34:G34"/>
    <mergeCell ref="B35:C35"/>
    <mergeCell ref="F35:G35"/>
    <mergeCell ref="H34:I34"/>
    <mergeCell ref="H35:I35"/>
    <mergeCell ref="B32:C32"/>
    <mergeCell ref="F32:G32"/>
    <mergeCell ref="B33:C33"/>
    <mergeCell ref="F33:G33"/>
    <mergeCell ref="H32:I32"/>
    <mergeCell ref="H33:I33"/>
    <mergeCell ref="B38:C38"/>
    <mergeCell ref="F38:G38"/>
    <mergeCell ref="B39:C39"/>
    <mergeCell ref="F39:G39"/>
    <mergeCell ref="H38:I38"/>
    <mergeCell ref="H39:I39"/>
    <mergeCell ref="B36:C36"/>
    <mergeCell ref="F36:G36"/>
    <mergeCell ref="B37:C37"/>
    <mergeCell ref="F37:G37"/>
    <mergeCell ref="H36:I36"/>
    <mergeCell ref="H37:I37"/>
    <mergeCell ref="B42:C42"/>
    <mergeCell ref="F42:G42"/>
    <mergeCell ref="B43:C43"/>
    <mergeCell ref="F43:G43"/>
    <mergeCell ref="H42:I42"/>
    <mergeCell ref="H43:I43"/>
    <mergeCell ref="B40:C40"/>
    <mergeCell ref="F40:G40"/>
    <mergeCell ref="B41:C41"/>
    <mergeCell ref="F41:G41"/>
    <mergeCell ref="H40:I40"/>
    <mergeCell ref="H41:I41"/>
    <mergeCell ref="B46:C46"/>
    <mergeCell ref="F46:G46"/>
    <mergeCell ref="B47:C47"/>
    <mergeCell ref="F47:G47"/>
    <mergeCell ref="H46:I46"/>
    <mergeCell ref="H47:I47"/>
    <mergeCell ref="B44:C44"/>
    <mergeCell ref="F44:G44"/>
    <mergeCell ref="B45:C45"/>
    <mergeCell ref="F45:G45"/>
    <mergeCell ref="H44:I44"/>
    <mergeCell ref="H45:I45"/>
    <mergeCell ref="B50:C50"/>
    <mergeCell ref="F50:G50"/>
    <mergeCell ref="B51:C51"/>
    <mergeCell ref="F51:G51"/>
    <mergeCell ref="H50:I50"/>
    <mergeCell ref="H51:I51"/>
    <mergeCell ref="B48:C48"/>
    <mergeCell ref="F48:G48"/>
    <mergeCell ref="B49:C49"/>
    <mergeCell ref="F49:G49"/>
    <mergeCell ref="H48:I48"/>
    <mergeCell ref="H49:I49"/>
    <mergeCell ref="B54:C54"/>
    <mergeCell ref="F54:G54"/>
    <mergeCell ref="B55:C55"/>
    <mergeCell ref="F55:G55"/>
    <mergeCell ref="H54:I54"/>
    <mergeCell ref="H55:I55"/>
    <mergeCell ref="B52:C52"/>
    <mergeCell ref="F52:G52"/>
    <mergeCell ref="B53:C53"/>
    <mergeCell ref="F53:G53"/>
    <mergeCell ref="H52:I52"/>
    <mergeCell ref="H53:I53"/>
    <mergeCell ref="B58:C58"/>
    <mergeCell ref="F58:G58"/>
    <mergeCell ref="B59:C59"/>
    <mergeCell ref="F59:G59"/>
    <mergeCell ref="H58:I58"/>
    <mergeCell ref="H59:I59"/>
    <mergeCell ref="B56:C56"/>
    <mergeCell ref="F56:G56"/>
    <mergeCell ref="B57:C57"/>
    <mergeCell ref="F57:G57"/>
    <mergeCell ref="H56:I56"/>
    <mergeCell ref="H57:I57"/>
    <mergeCell ref="B62:C62"/>
    <mergeCell ref="F62:G62"/>
    <mergeCell ref="B63:C63"/>
    <mergeCell ref="F63:G63"/>
    <mergeCell ref="H62:I62"/>
    <mergeCell ref="H63:I63"/>
    <mergeCell ref="B60:C60"/>
    <mergeCell ref="F60:G60"/>
    <mergeCell ref="B61:C61"/>
    <mergeCell ref="F61:G61"/>
    <mergeCell ref="H60:I60"/>
    <mergeCell ref="H61:I61"/>
    <mergeCell ref="B66:C66"/>
    <mergeCell ref="F66:G66"/>
    <mergeCell ref="B67:C67"/>
    <mergeCell ref="F67:G67"/>
    <mergeCell ref="H66:I66"/>
    <mergeCell ref="H67:I67"/>
    <mergeCell ref="B64:C64"/>
    <mergeCell ref="F64:G64"/>
    <mergeCell ref="B65:C65"/>
    <mergeCell ref="F65:G65"/>
    <mergeCell ref="H64:I64"/>
    <mergeCell ref="H65:I65"/>
    <mergeCell ref="B70:C70"/>
    <mergeCell ref="F70:G70"/>
    <mergeCell ref="B71:C71"/>
    <mergeCell ref="F71:G71"/>
    <mergeCell ref="H70:I70"/>
    <mergeCell ref="H71:I71"/>
    <mergeCell ref="B68:C68"/>
    <mergeCell ref="F68:G68"/>
    <mergeCell ref="B69:C69"/>
    <mergeCell ref="F69:G69"/>
    <mergeCell ref="H68:I68"/>
    <mergeCell ref="H69:I69"/>
    <mergeCell ref="B74:C74"/>
    <mergeCell ref="F74:G74"/>
    <mergeCell ref="B75:C75"/>
    <mergeCell ref="F75:G75"/>
    <mergeCell ref="H74:I74"/>
    <mergeCell ref="H75:I75"/>
    <mergeCell ref="B72:C72"/>
    <mergeCell ref="F72:G72"/>
    <mergeCell ref="B73:C73"/>
    <mergeCell ref="F73:G73"/>
    <mergeCell ref="H72:I72"/>
    <mergeCell ref="H73:I73"/>
    <mergeCell ref="B78:C78"/>
    <mergeCell ref="F78:G78"/>
    <mergeCell ref="B79:C79"/>
    <mergeCell ref="F79:G79"/>
    <mergeCell ref="H78:I78"/>
    <mergeCell ref="H79:I79"/>
    <mergeCell ref="B76:C76"/>
    <mergeCell ref="F76:G76"/>
    <mergeCell ref="B77:C77"/>
    <mergeCell ref="F77:G77"/>
    <mergeCell ref="H76:I76"/>
    <mergeCell ref="H77:I77"/>
    <mergeCell ref="B82:C82"/>
    <mergeCell ref="F82:G82"/>
    <mergeCell ref="B83:C83"/>
    <mergeCell ref="F83:G83"/>
    <mergeCell ref="H82:I82"/>
    <mergeCell ref="H83:I83"/>
    <mergeCell ref="B80:C80"/>
    <mergeCell ref="F80:G80"/>
    <mergeCell ref="B81:C81"/>
    <mergeCell ref="F81:G81"/>
    <mergeCell ref="H80:I80"/>
    <mergeCell ref="H81:I81"/>
    <mergeCell ref="F87:G87"/>
    <mergeCell ref="H86:I86"/>
    <mergeCell ref="H87:I87"/>
    <mergeCell ref="B84:C84"/>
    <mergeCell ref="F84:G84"/>
    <mergeCell ref="B85:C85"/>
    <mergeCell ref="F85:G85"/>
    <mergeCell ref="H84:I84"/>
    <mergeCell ref="H85:I85"/>
    <mergeCell ref="F23:G23"/>
    <mergeCell ref="F22:G22"/>
    <mergeCell ref="H22:I22"/>
    <mergeCell ref="H23:I23"/>
    <mergeCell ref="B98:C98"/>
    <mergeCell ref="F98:G98"/>
    <mergeCell ref="B99:C99"/>
    <mergeCell ref="F99:G99"/>
    <mergeCell ref="H98:I98"/>
    <mergeCell ref="H99:I99"/>
    <mergeCell ref="B96:C96"/>
    <mergeCell ref="F96:G96"/>
    <mergeCell ref="B97:C97"/>
    <mergeCell ref="F97:G97"/>
    <mergeCell ref="H96:I96"/>
    <mergeCell ref="H97:I97"/>
    <mergeCell ref="B94:C94"/>
    <mergeCell ref="F94:G94"/>
    <mergeCell ref="B95:C95"/>
    <mergeCell ref="F95:G95"/>
    <mergeCell ref="H94:I94"/>
    <mergeCell ref="H95:I95"/>
    <mergeCell ref="B92:C92"/>
    <mergeCell ref="B87:C87"/>
    <mergeCell ref="H100:I100"/>
    <mergeCell ref="B22:C22"/>
    <mergeCell ref="B23:C23"/>
    <mergeCell ref="B100:C100"/>
    <mergeCell ref="F100:G100"/>
    <mergeCell ref="F92:G92"/>
    <mergeCell ref="B93:C93"/>
    <mergeCell ref="F93:G93"/>
    <mergeCell ref="H92:I92"/>
    <mergeCell ref="H93:I93"/>
    <mergeCell ref="B90:C90"/>
    <mergeCell ref="F90:G90"/>
    <mergeCell ref="B91:C91"/>
    <mergeCell ref="F91:G91"/>
    <mergeCell ref="H90:I90"/>
    <mergeCell ref="H91:I91"/>
    <mergeCell ref="B88:C88"/>
    <mergeCell ref="F88:G88"/>
    <mergeCell ref="B89:C89"/>
    <mergeCell ref="F89:G89"/>
    <mergeCell ref="H88:I88"/>
    <mergeCell ref="H89:I89"/>
    <mergeCell ref="B86:C86"/>
    <mergeCell ref="F86:G86"/>
  </mergeCells>
  <conditionalFormatting sqref="F1 D3 D5 C7 C9 B11 J11 C13 J13 C15 I15">
    <cfRule type="containsBlanks" dxfId="1" priority="1">
      <formula>LEN(TRIM(B1))=0</formula>
    </cfRule>
  </conditionalFormatting>
  <pageMargins left="0.7" right="0.7" top="1.5" bottom="0.75" header="0.3" footer="0.3"/>
  <pageSetup paperSize="9" scale="86" fitToHeight="0" orientation="portrait" r:id="rId1"/>
  <headerFooter>
    <oddHeader xml:space="preserve">&amp;C&amp;G&amp;R
</oddHeader>
    <oddFooter>&amp;Cטופס 009 מהדורה 01</oddFooter>
  </headerFooter>
  <legacyDrawingHF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3044-5E13-4A7F-9FD1-BC88EF512327}">
  <sheetPr codeName="גיליון2"/>
  <dimension ref="A1:T103"/>
  <sheetViews>
    <sheetView rightToLeft="1" view="pageLayout" topLeftCell="L1" zoomScaleNormal="100" workbookViewId="0">
      <selection activeCell="L13" sqref="L13:T13"/>
    </sheetView>
  </sheetViews>
  <sheetFormatPr defaultRowHeight="14.25" x14ac:dyDescent="0.2"/>
  <cols>
    <col min="4" max="4" width="13" customWidth="1"/>
    <col min="5" max="5" width="23.125" customWidth="1"/>
    <col min="6" max="6" width="38.875" customWidth="1"/>
    <col min="15" max="15" width="8.25" customWidth="1"/>
    <col min="16" max="16" width="11.75" customWidth="1"/>
    <col min="17" max="17" width="12.625" customWidth="1"/>
    <col min="18" max="18" width="11.625" customWidth="1"/>
    <col min="19" max="19" width="11.875" customWidth="1"/>
    <col min="20" max="20" width="3.625" customWidth="1"/>
  </cols>
  <sheetData>
    <row r="1" spans="1:20" ht="15" customHeight="1" x14ac:dyDescent="0.2">
      <c r="L1" s="315" t="s">
        <v>291</v>
      </c>
      <c r="M1" s="315"/>
      <c r="N1" s="315"/>
      <c r="O1" s="315"/>
      <c r="P1" s="315"/>
      <c r="Q1" s="315"/>
      <c r="R1" s="315"/>
      <c r="S1" s="315"/>
      <c r="T1" s="315"/>
    </row>
    <row r="2" spans="1:20" ht="15" thickBot="1" x14ac:dyDescent="0.25"/>
    <row r="3" spans="1:20" ht="18.75" customHeight="1" x14ac:dyDescent="0.2">
      <c r="L3" s="327" t="s">
        <v>305</v>
      </c>
      <c r="M3" s="302"/>
      <c r="N3" s="325" t="s">
        <v>303</v>
      </c>
      <c r="O3" s="326"/>
      <c r="P3" s="327" t="s">
        <v>302</v>
      </c>
      <c r="Q3" s="302"/>
      <c r="R3" s="303"/>
      <c r="S3" s="302" t="s">
        <v>298</v>
      </c>
      <c r="T3" s="303"/>
    </row>
    <row r="4" spans="1:20" ht="16.5" thickBot="1" x14ac:dyDescent="0.25">
      <c r="A4" s="42" t="s">
        <v>106</v>
      </c>
      <c r="L4" s="66">
        <f>מבקר!G8</f>
        <v>0</v>
      </c>
      <c r="M4" s="67"/>
      <c r="N4" s="80">
        <f>מבקר!G10</f>
        <v>0</v>
      </c>
      <c r="O4" s="161" t="s">
        <v>413</v>
      </c>
      <c r="P4" s="328">
        <f>מבקר!G6</f>
        <v>0</v>
      </c>
      <c r="Q4" s="329"/>
      <c r="R4" s="330"/>
      <c r="S4" s="328">
        <f>מבקר!G4</f>
        <v>0</v>
      </c>
      <c r="T4" s="330"/>
    </row>
    <row r="5" spans="1:20" ht="26.25" customHeight="1" x14ac:dyDescent="0.2">
      <c r="A5" s="383" t="s">
        <v>107</v>
      </c>
      <c r="B5" s="474"/>
      <c r="C5" s="383" t="s">
        <v>108</v>
      </c>
      <c r="D5" s="474"/>
      <c r="E5" s="477" t="s">
        <v>109</v>
      </c>
      <c r="F5" s="464" t="s">
        <v>110</v>
      </c>
      <c r="G5" s="439"/>
      <c r="L5" s="325" t="s">
        <v>306</v>
      </c>
      <c r="M5" s="326"/>
      <c r="N5" s="325" t="s">
        <v>304</v>
      </c>
      <c r="O5" s="326"/>
      <c r="P5" s="325" t="s">
        <v>379</v>
      </c>
      <c r="Q5" s="417"/>
      <c r="R5" s="326"/>
      <c r="S5" s="325" t="s">
        <v>299</v>
      </c>
      <c r="T5" s="326"/>
    </row>
    <row r="6" spans="1:20" ht="15.75" customHeight="1" thickBot="1" x14ac:dyDescent="0.25">
      <c r="A6" s="475"/>
      <c r="B6" s="476"/>
      <c r="C6" s="475"/>
      <c r="D6" s="476"/>
      <c r="E6" s="478"/>
      <c r="F6" s="465"/>
      <c r="G6" s="439"/>
      <c r="L6" s="411"/>
      <c r="M6" s="412"/>
      <c r="N6" s="414">
        <f>מבקר!G14</f>
        <v>0</v>
      </c>
      <c r="O6" s="415"/>
      <c r="P6" s="414">
        <f>מבקר!G12</f>
        <v>0</v>
      </c>
      <c r="Q6" s="416"/>
      <c r="R6" s="415"/>
      <c r="S6" s="440"/>
      <c r="T6" s="441"/>
    </row>
    <row r="7" spans="1:20" ht="36" customHeight="1" thickBot="1" x14ac:dyDescent="0.25">
      <c r="A7" s="466" t="s">
        <v>111</v>
      </c>
      <c r="B7" s="332"/>
      <c r="C7" s="328" t="s">
        <v>112</v>
      </c>
      <c r="D7" s="330"/>
      <c r="E7" s="52" t="s">
        <v>113</v>
      </c>
      <c r="F7" s="55" t="s">
        <v>114</v>
      </c>
      <c r="G7" s="44"/>
      <c r="L7" s="327" t="s">
        <v>308</v>
      </c>
      <c r="M7" s="302"/>
      <c r="N7" s="303"/>
      <c r="O7" s="327" t="s">
        <v>307</v>
      </c>
      <c r="P7" s="303"/>
      <c r="Q7" s="302" t="s">
        <v>301</v>
      </c>
      <c r="R7" s="303"/>
      <c r="S7" s="327" t="s">
        <v>300</v>
      </c>
      <c r="T7" s="303"/>
    </row>
    <row r="8" spans="1:20" ht="21.75" customHeight="1" thickBot="1" x14ac:dyDescent="0.25">
      <c r="A8" s="469" t="s">
        <v>115</v>
      </c>
      <c r="B8" s="471"/>
      <c r="C8" s="469" t="s">
        <v>116</v>
      </c>
      <c r="D8" s="471"/>
      <c r="E8" s="57" t="s">
        <v>117</v>
      </c>
      <c r="F8" s="56" t="s">
        <v>118</v>
      </c>
      <c r="G8" s="44"/>
      <c r="L8" s="409">
        <f>מבקר!G16</f>
        <v>0</v>
      </c>
      <c r="M8" s="413"/>
      <c r="N8" s="410"/>
      <c r="O8" s="409">
        <v>144429</v>
      </c>
      <c r="P8" s="410"/>
      <c r="Q8" s="407" t="s">
        <v>125</v>
      </c>
      <c r="R8" s="408"/>
      <c r="S8" s="452"/>
      <c r="T8" s="453"/>
    </row>
    <row r="9" spans="1:20" ht="24.75" customHeight="1" thickBot="1" x14ac:dyDescent="0.25">
      <c r="A9" s="472" t="s">
        <v>119</v>
      </c>
      <c r="B9" s="473"/>
      <c r="C9" s="466" t="s">
        <v>111</v>
      </c>
      <c r="D9" s="332"/>
      <c r="E9" s="55" t="s">
        <v>120</v>
      </c>
      <c r="F9" s="59"/>
      <c r="G9" s="44"/>
      <c r="L9" s="34"/>
      <c r="M9" s="302" t="s">
        <v>129</v>
      </c>
      <c r="N9" s="302"/>
      <c r="O9" s="302"/>
      <c r="P9" s="302" t="s">
        <v>310</v>
      </c>
      <c r="Q9" s="303"/>
      <c r="R9" s="384"/>
      <c r="S9" s="302" t="s">
        <v>309</v>
      </c>
      <c r="T9" s="303"/>
    </row>
    <row r="10" spans="1:20" ht="21.75" customHeight="1" x14ac:dyDescent="0.2">
      <c r="A10" s="383" t="s">
        <v>121</v>
      </c>
      <c r="B10" s="474"/>
      <c r="C10" s="383" t="s">
        <v>122</v>
      </c>
      <c r="D10" s="474"/>
      <c r="E10" s="60" t="s">
        <v>123</v>
      </c>
      <c r="F10" s="61" t="s">
        <v>124</v>
      </c>
      <c r="G10" s="44"/>
      <c r="L10" s="308" t="s">
        <v>290</v>
      </c>
      <c r="M10" s="304"/>
      <c r="N10" s="304"/>
      <c r="O10" s="304"/>
      <c r="P10" s="304"/>
      <c r="Q10" s="305"/>
      <c r="R10" s="426"/>
      <c r="S10" s="304"/>
      <c r="T10" s="305"/>
    </row>
    <row r="11" spans="1:20" ht="25.5" customHeight="1" thickBot="1" x14ac:dyDescent="0.25">
      <c r="A11" s="491"/>
      <c r="B11" s="453"/>
      <c r="C11" s="454" t="s">
        <v>125</v>
      </c>
      <c r="D11" s="455"/>
      <c r="E11" s="62">
        <v>144429</v>
      </c>
      <c r="F11" s="63" t="s">
        <v>126</v>
      </c>
      <c r="G11" s="44"/>
      <c r="L11" s="309" t="s">
        <v>289</v>
      </c>
      <c r="M11" s="310"/>
      <c r="N11" s="310"/>
      <c r="O11" s="310"/>
      <c r="P11" s="310"/>
      <c r="Q11" s="311"/>
      <c r="R11" s="424"/>
      <c r="S11" s="304" t="s">
        <v>132</v>
      </c>
      <c r="T11" s="305"/>
    </row>
    <row r="12" spans="1:20" ht="1.5" hidden="1" customHeight="1" thickBot="1" x14ac:dyDescent="0.25">
      <c r="A12" s="418" t="s">
        <v>127</v>
      </c>
      <c r="B12" s="457"/>
      <c r="C12" s="43" t="s">
        <v>128</v>
      </c>
      <c r="D12" s="459" t="s">
        <v>129</v>
      </c>
      <c r="E12" s="459"/>
      <c r="F12" s="460"/>
      <c r="G12" s="44"/>
      <c r="L12" s="312"/>
      <c r="M12" s="313"/>
      <c r="N12" s="313"/>
      <c r="O12" s="313"/>
      <c r="P12" s="313"/>
      <c r="Q12" s="314"/>
      <c r="R12" s="425"/>
      <c r="S12" s="306"/>
      <c r="T12" s="307"/>
    </row>
    <row r="13" spans="1:20" x14ac:dyDescent="0.2">
      <c r="A13" s="456"/>
      <c r="B13" s="458"/>
      <c r="C13" s="461" t="s">
        <v>130</v>
      </c>
      <c r="D13" s="462"/>
      <c r="E13" s="462"/>
      <c r="F13" s="463"/>
      <c r="G13" s="439"/>
      <c r="L13" s="418" t="s">
        <v>321</v>
      </c>
      <c r="M13" s="419"/>
      <c r="N13" s="419"/>
      <c r="O13" s="419"/>
      <c r="P13" s="419"/>
      <c r="Q13" s="419"/>
      <c r="R13" s="419"/>
      <c r="S13" s="419"/>
      <c r="T13" s="420"/>
    </row>
    <row r="14" spans="1:20" ht="15" thickBot="1" x14ac:dyDescent="0.25">
      <c r="A14" s="456"/>
      <c r="B14" s="458"/>
      <c r="C14" s="461" t="s">
        <v>131</v>
      </c>
      <c r="D14" s="462"/>
      <c r="E14" s="462"/>
      <c r="F14" s="463"/>
      <c r="G14" s="439"/>
      <c r="L14" s="421" t="s">
        <v>322</v>
      </c>
      <c r="M14" s="422"/>
      <c r="N14" s="422"/>
      <c r="O14" s="422"/>
      <c r="P14" s="422"/>
      <c r="Q14" s="422"/>
      <c r="R14" s="422"/>
      <c r="S14" s="422"/>
      <c r="T14" s="423"/>
    </row>
    <row r="15" spans="1:20" ht="25.5" customHeight="1" thickBot="1" x14ac:dyDescent="0.25">
      <c r="A15" s="45" t="s">
        <v>132</v>
      </c>
      <c r="B15" s="46"/>
      <c r="C15" s="479"/>
      <c r="D15" s="480"/>
      <c r="E15" s="480"/>
      <c r="F15" s="481"/>
      <c r="G15" s="44"/>
      <c r="L15" s="402" t="s">
        <v>135</v>
      </c>
      <c r="M15" s="403"/>
      <c r="N15" s="403"/>
      <c r="O15" s="403"/>
      <c r="P15" s="403"/>
      <c r="Q15" s="403"/>
      <c r="R15" s="403"/>
      <c r="S15" s="403"/>
      <c r="T15" s="404"/>
    </row>
    <row r="16" spans="1:20" ht="15.75" customHeight="1" x14ac:dyDescent="0.2">
      <c r="A16" s="482" t="s">
        <v>133</v>
      </c>
      <c r="B16" s="483"/>
      <c r="C16" s="483"/>
      <c r="D16" s="483"/>
      <c r="E16" s="483"/>
      <c r="F16" s="484"/>
      <c r="G16" s="439"/>
      <c r="L16" s="405" t="s">
        <v>313</v>
      </c>
      <c r="M16" s="406"/>
      <c r="N16" s="397" t="s">
        <v>378</v>
      </c>
      <c r="O16" s="397"/>
      <c r="P16" s="397"/>
      <c r="Q16" s="397" t="s">
        <v>312</v>
      </c>
      <c r="R16" s="397"/>
      <c r="S16" s="397" t="s">
        <v>311</v>
      </c>
      <c r="T16" s="398"/>
    </row>
    <row r="17" spans="1:20" ht="15.75" customHeight="1" thickBot="1" x14ac:dyDescent="0.25">
      <c r="A17" s="485" t="s">
        <v>134</v>
      </c>
      <c r="B17" s="486"/>
      <c r="C17" s="486"/>
      <c r="D17" s="486"/>
      <c r="E17" s="486"/>
      <c r="F17" s="487"/>
      <c r="G17" s="439"/>
      <c r="L17" s="392" t="s">
        <v>140</v>
      </c>
      <c r="M17" s="393"/>
      <c r="N17" s="385" t="s">
        <v>141</v>
      </c>
      <c r="O17" s="385"/>
      <c r="P17" s="385"/>
      <c r="Q17" s="386" t="s">
        <v>141</v>
      </c>
      <c r="R17" s="386" t="s">
        <v>141</v>
      </c>
      <c r="S17" s="394" t="s">
        <v>141</v>
      </c>
      <c r="T17" s="395" t="s">
        <v>141</v>
      </c>
    </row>
    <row r="18" spans="1:20" ht="16.5" customHeight="1" thickBot="1" x14ac:dyDescent="0.25">
      <c r="A18" s="488" t="s">
        <v>135</v>
      </c>
      <c r="B18" s="489"/>
      <c r="C18" s="489"/>
      <c r="D18" s="489"/>
      <c r="E18" s="489"/>
      <c r="F18" s="490"/>
      <c r="G18" s="44"/>
      <c r="L18" s="392"/>
      <c r="M18" s="393"/>
      <c r="N18" s="385"/>
      <c r="O18" s="385"/>
      <c r="P18" s="385"/>
      <c r="Q18" s="399"/>
      <c r="R18" s="400"/>
      <c r="S18" s="399"/>
      <c r="T18" s="401"/>
    </row>
    <row r="19" spans="1:20" ht="17.25" customHeight="1" thickBot="1" x14ac:dyDescent="0.25">
      <c r="A19" s="427" t="s">
        <v>136</v>
      </c>
      <c r="B19" s="429"/>
      <c r="C19" s="427" t="s">
        <v>137</v>
      </c>
      <c r="D19" s="429"/>
      <c r="E19" s="47" t="s">
        <v>138</v>
      </c>
      <c r="F19" s="48" t="s">
        <v>139</v>
      </c>
      <c r="G19" s="44"/>
      <c r="L19" s="392"/>
      <c r="M19" s="393"/>
      <c r="N19" s="385"/>
      <c r="O19" s="385"/>
      <c r="P19" s="385"/>
      <c r="Q19" s="386"/>
      <c r="R19" s="386"/>
      <c r="S19" s="394"/>
      <c r="T19" s="395"/>
    </row>
    <row r="20" spans="1:20" ht="15.75" customHeight="1" thickBot="1" x14ac:dyDescent="0.25">
      <c r="A20" s="450" t="s">
        <v>140</v>
      </c>
      <c r="B20" s="451"/>
      <c r="C20" s="450" t="s">
        <v>141</v>
      </c>
      <c r="D20" s="451"/>
      <c r="E20" s="49" t="s">
        <v>141</v>
      </c>
      <c r="F20" s="49" t="s">
        <v>141</v>
      </c>
      <c r="G20" s="44"/>
      <c r="L20" s="392"/>
      <c r="M20" s="393"/>
      <c r="N20" s="385"/>
      <c r="O20" s="385"/>
      <c r="P20" s="385"/>
      <c r="Q20" s="386"/>
      <c r="R20" s="386"/>
      <c r="S20" s="394"/>
      <c r="T20" s="395"/>
    </row>
    <row r="21" spans="1:20" ht="15.75" customHeight="1" thickBot="1" x14ac:dyDescent="0.25">
      <c r="A21" s="450"/>
      <c r="B21" s="451"/>
      <c r="C21" s="450"/>
      <c r="D21" s="451"/>
      <c r="E21" s="49"/>
      <c r="F21" s="49"/>
      <c r="G21" s="44"/>
      <c r="L21" s="392"/>
      <c r="M21" s="393"/>
      <c r="N21" s="385"/>
      <c r="O21" s="385"/>
      <c r="P21" s="385"/>
      <c r="Q21" s="386"/>
      <c r="R21" s="386"/>
      <c r="S21" s="394"/>
      <c r="T21" s="395"/>
    </row>
    <row r="22" spans="1:20" ht="15.75" customHeight="1" thickBot="1" x14ac:dyDescent="0.25">
      <c r="A22" s="450"/>
      <c r="B22" s="451"/>
      <c r="C22" s="450"/>
      <c r="D22" s="451"/>
      <c r="E22" s="49"/>
      <c r="F22" s="49"/>
      <c r="G22" s="44"/>
      <c r="L22" s="392"/>
      <c r="M22" s="393"/>
      <c r="N22" s="385"/>
      <c r="O22" s="385"/>
      <c r="P22" s="385"/>
      <c r="Q22" s="386"/>
      <c r="R22" s="386"/>
      <c r="S22" s="394"/>
      <c r="T22" s="395"/>
    </row>
    <row r="23" spans="1:20" ht="15.75" customHeight="1" thickBot="1" x14ac:dyDescent="0.25">
      <c r="A23" s="450"/>
      <c r="B23" s="451"/>
      <c r="C23" s="450"/>
      <c r="D23" s="451"/>
      <c r="E23" s="49"/>
      <c r="F23" s="49"/>
      <c r="G23" s="44"/>
      <c r="L23" s="392"/>
      <c r="M23" s="393"/>
      <c r="N23" s="385"/>
      <c r="O23" s="385"/>
      <c r="P23" s="385"/>
      <c r="Q23" s="386"/>
      <c r="R23" s="386"/>
      <c r="S23" s="394"/>
      <c r="T23" s="395"/>
    </row>
    <row r="24" spans="1:20" ht="15.75" customHeight="1" thickBot="1" x14ac:dyDescent="0.25">
      <c r="A24" s="450"/>
      <c r="B24" s="451"/>
      <c r="C24" s="450"/>
      <c r="D24" s="451"/>
      <c r="E24" s="49"/>
      <c r="F24" s="49"/>
      <c r="G24" s="44"/>
      <c r="L24" s="392"/>
      <c r="M24" s="393"/>
      <c r="N24" s="385"/>
      <c r="O24" s="385"/>
      <c r="P24" s="385"/>
      <c r="Q24" s="386"/>
      <c r="R24" s="386"/>
      <c r="S24" s="394"/>
      <c r="T24" s="395"/>
    </row>
    <row r="25" spans="1:20" ht="15.75" customHeight="1" thickBot="1" x14ac:dyDescent="0.25">
      <c r="A25" s="450"/>
      <c r="B25" s="451"/>
      <c r="C25" s="450"/>
      <c r="D25" s="451"/>
      <c r="E25" s="49"/>
      <c r="F25" s="49"/>
      <c r="G25" s="44"/>
      <c r="L25" s="392"/>
      <c r="M25" s="393"/>
      <c r="N25" s="385"/>
      <c r="O25" s="385"/>
      <c r="P25" s="385"/>
      <c r="Q25" s="386"/>
      <c r="R25" s="386"/>
      <c r="S25" s="394"/>
      <c r="T25" s="395"/>
    </row>
    <row r="26" spans="1:20" ht="15.75" customHeight="1" thickBot="1" x14ac:dyDescent="0.25">
      <c r="A26" s="450"/>
      <c r="B26" s="451"/>
      <c r="C26" s="450"/>
      <c r="D26" s="451"/>
      <c r="E26" s="49"/>
      <c r="F26" s="49"/>
      <c r="G26" s="44"/>
      <c r="L26" s="392"/>
      <c r="M26" s="393"/>
      <c r="N26" s="385"/>
      <c r="O26" s="385"/>
      <c r="P26" s="385"/>
      <c r="Q26" s="386"/>
      <c r="R26" s="386"/>
      <c r="S26" s="394"/>
      <c r="T26" s="395"/>
    </row>
    <row r="27" spans="1:20" ht="15.75" customHeight="1" thickBot="1" x14ac:dyDescent="0.25">
      <c r="A27" s="450"/>
      <c r="B27" s="451"/>
      <c r="C27" s="450"/>
      <c r="D27" s="451"/>
      <c r="E27" s="49"/>
      <c r="F27" s="49"/>
      <c r="G27" s="44"/>
      <c r="L27" s="392"/>
      <c r="M27" s="393"/>
      <c r="N27" s="385"/>
      <c r="O27" s="385"/>
      <c r="P27" s="385"/>
      <c r="Q27" s="386"/>
      <c r="R27" s="386"/>
      <c r="S27" s="394"/>
      <c r="T27" s="395"/>
    </row>
    <row r="28" spans="1:20" ht="15.75" customHeight="1" thickBot="1" x14ac:dyDescent="0.25">
      <c r="A28" s="450"/>
      <c r="B28" s="451"/>
      <c r="C28" s="450"/>
      <c r="D28" s="451"/>
      <c r="E28" s="49"/>
      <c r="F28" s="49"/>
      <c r="G28" s="44"/>
      <c r="L28" s="392"/>
      <c r="M28" s="393"/>
      <c r="N28" s="385"/>
      <c r="O28" s="385"/>
      <c r="P28" s="385"/>
      <c r="Q28" s="386"/>
      <c r="R28" s="386"/>
      <c r="S28" s="394"/>
      <c r="T28" s="395"/>
    </row>
    <row r="29" spans="1:20" ht="15.75" customHeight="1" thickBot="1" x14ac:dyDescent="0.25">
      <c r="A29" s="450"/>
      <c r="B29" s="451"/>
      <c r="C29" s="450"/>
      <c r="D29" s="451"/>
      <c r="E29" s="49"/>
      <c r="F29" s="49"/>
      <c r="G29" s="44"/>
      <c r="L29" s="392"/>
      <c r="M29" s="393"/>
      <c r="N29" s="385"/>
      <c r="O29" s="385"/>
      <c r="P29" s="385"/>
      <c r="Q29" s="386"/>
      <c r="R29" s="386"/>
      <c r="S29" s="394"/>
      <c r="T29" s="395"/>
    </row>
    <row r="30" spans="1:20" ht="15.75" customHeight="1" thickBot="1" x14ac:dyDescent="0.25">
      <c r="A30" s="450"/>
      <c r="B30" s="451"/>
      <c r="C30" s="450"/>
      <c r="D30" s="451"/>
      <c r="E30" s="49"/>
      <c r="F30" s="49"/>
      <c r="G30" s="44"/>
      <c r="L30" s="392"/>
      <c r="M30" s="393"/>
      <c r="N30" s="385"/>
      <c r="O30" s="385"/>
      <c r="P30" s="385"/>
      <c r="Q30" s="386"/>
      <c r="R30" s="386"/>
      <c r="S30" s="394"/>
      <c r="T30" s="395"/>
    </row>
    <row r="31" spans="1:20" ht="15.75" customHeight="1" thickBot="1" x14ac:dyDescent="0.25">
      <c r="A31" s="450"/>
      <c r="B31" s="451"/>
      <c r="C31" s="450"/>
      <c r="D31" s="451"/>
      <c r="E31" s="49"/>
      <c r="F31" s="49"/>
      <c r="G31" s="44"/>
      <c r="L31" s="387"/>
      <c r="M31" s="388"/>
      <c r="N31" s="389"/>
      <c r="O31" s="389"/>
      <c r="P31" s="389"/>
      <c r="Q31" s="396"/>
      <c r="R31" s="396"/>
      <c r="S31" s="390"/>
      <c r="T31" s="391"/>
    </row>
    <row r="32" spans="1:20" ht="15.75" customHeight="1" thickBot="1" x14ac:dyDescent="0.25">
      <c r="A32" s="450"/>
      <c r="B32" s="451"/>
      <c r="C32" s="450"/>
      <c r="D32" s="451"/>
      <c r="E32" s="49"/>
      <c r="F32" s="49"/>
      <c r="G32" s="44"/>
      <c r="L32" s="316" t="s">
        <v>314</v>
      </c>
      <c r="M32" s="317"/>
      <c r="N32" s="317"/>
      <c r="O32" s="317"/>
      <c r="P32" s="317"/>
      <c r="Q32" s="317"/>
      <c r="R32" s="317"/>
      <c r="S32" s="317"/>
      <c r="T32" s="318"/>
    </row>
    <row r="33" spans="1:20" ht="15" thickBot="1" x14ac:dyDescent="0.25">
      <c r="A33" s="450"/>
      <c r="B33" s="451"/>
      <c r="C33" s="450"/>
      <c r="D33" s="451"/>
      <c r="E33" s="49"/>
      <c r="F33" s="49"/>
      <c r="G33" s="44"/>
      <c r="L33" s="319"/>
      <c r="M33" s="320"/>
      <c r="N33" s="320"/>
      <c r="O33" s="320"/>
      <c r="P33" s="320"/>
      <c r="Q33" s="320"/>
      <c r="R33" s="320"/>
      <c r="S33" s="320"/>
      <c r="T33" s="321"/>
    </row>
    <row r="34" spans="1:20" ht="15.75" customHeight="1" thickBot="1" x14ac:dyDescent="0.25">
      <c r="A34" s="450"/>
      <c r="B34" s="451"/>
      <c r="C34" s="450"/>
      <c r="D34" s="451"/>
      <c r="E34" s="49"/>
      <c r="F34" s="49"/>
      <c r="G34" s="44"/>
      <c r="L34" s="380"/>
      <c r="M34" s="381"/>
      <c r="N34" s="106" t="s">
        <v>144</v>
      </c>
      <c r="O34" s="382"/>
      <c r="P34" s="378"/>
      <c r="Q34" s="378"/>
      <c r="R34" s="378"/>
      <c r="S34" s="378" t="s">
        <v>315</v>
      </c>
      <c r="T34" s="379"/>
    </row>
    <row r="35" spans="1:20" ht="15" customHeight="1" thickBot="1" x14ac:dyDescent="0.25">
      <c r="A35" s="442" t="s">
        <v>142</v>
      </c>
      <c r="B35" s="443"/>
      <c r="C35" s="443"/>
      <c r="D35" s="443"/>
      <c r="E35" s="443"/>
      <c r="F35" s="444"/>
      <c r="G35" s="439"/>
      <c r="L35" s="380">
        <f ca="1">TODAY()</f>
        <v>46149</v>
      </c>
      <c r="M35" s="381"/>
      <c r="N35" s="106" t="s">
        <v>152</v>
      </c>
      <c r="O35" s="383">
        <f>מבקר!G17</f>
        <v>0</v>
      </c>
      <c r="P35" s="384"/>
      <c r="Q35" s="384"/>
      <c r="R35" s="302" t="s">
        <v>316</v>
      </c>
      <c r="S35" s="302"/>
      <c r="T35" s="303"/>
    </row>
    <row r="36" spans="1:20" ht="15.75" customHeight="1" thickBot="1" x14ac:dyDescent="0.25">
      <c r="A36" s="445"/>
      <c r="B36" s="446"/>
      <c r="C36" s="446"/>
      <c r="D36" s="446"/>
      <c r="E36" s="446"/>
      <c r="F36" s="447"/>
      <c r="G36" s="439"/>
      <c r="L36" s="376"/>
      <c r="M36" s="377"/>
      <c r="N36" s="107" t="s">
        <v>148</v>
      </c>
      <c r="O36" s="372"/>
      <c r="P36" s="373"/>
      <c r="Q36" s="373"/>
      <c r="R36" s="370" t="s">
        <v>317</v>
      </c>
      <c r="S36" s="370"/>
      <c r="T36" s="371"/>
    </row>
    <row r="37" spans="1:20" ht="42.75" customHeight="1" thickBot="1" x14ac:dyDescent="0.25">
      <c r="A37" s="347" t="s">
        <v>143</v>
      </c>
      <c r="B37" s="348"/>
      <c r="C37" s="348"/>
      <c r="D37" s="348"/>
      <c r="E37" s="349"/>
      <c r="F37" s="50" t="s">
        <v>144</v>
      </c>
      <c r="G37" s="44"/>
      <c r="L37" s="178"/>
      <c r="M37" s="179"/>
      <c r="N37" s="179"/>
      <c r="O37" s="179"/>
      <c r="P37" s="179"/>
      <c r="Q37" s="179"/>
      <c r="R37" s="179"/>
      <c r="S37" s="374" t="s">
        <v>318</v>
      </c>
      <c r="T37" s="375"/>
    </row>
    <row r="38" spans="1:20" ht="90" customHeight="1" x14ac:dyDescent="0.2">
      <c r="A38" s="418" t="s">
        <v>145</v>
      </c>
      <c r="B38" s="419"/>
      <c r="C38" s="419"/>
      <c r="D38" s="419"/>
      <c r="E38" s="420"/>
      <c r="F38" s="448" t="s">
        <v>146</v>
      </c>
      <c r="G38" s="439"/>
      <c r="L38" s="71"/>
      <c r="M38" s="71"/>
      <c r="N38" s="71"/>
      <c r="O38" s="71"/>
      <c r="P38" s="71"/>
      <c r="Q38" s="71"/>
      <c r="R38" s="71"/>
      <c r="S38" s="71"/>
      <c r="T38" s="71"/>
    </row>
    <row r="39" spans="1:20" ht="15" thickBot="1" x14ac:dyDescent="0.25">
      <c r="A39" s="421"/>
      <c r="B39" s="422"/>
      <c r="C39" s="422"/>
      <c r="D39" s="422"/>
      <c r="E39" s="423"/>
      <c r="F39" s="449"/>
      <c r="G39" s="439"/>
      <c r="L39" s="350" t="s">
        <v>153</v>
      </c>
      <c r="M39" s="350"/>
      <c r="N39" s="350"/>
      <c r="O39" s="350"/>
      <c r="P39" s="350"/>
      <c r="Q39" s="350"/>
      <c r="R39" s="350"/>
      <c r="S39" s="350"/>
      <c r="T39" s="350"/>
    </row>
    <row r="40" spans="1:20" ht="22.5" customHeight="1" thickBot="1" x14ac:dyDescent="0.25">
      <c r="A40" s="427" t="s">
        <v>147</v>
      </c>
      <c r="B40" s="428"/>
      <c r="C40" s="428"/>
      <c r="D40" s="428"/>
      <c r="E40" s="429"/>
      <c r="F40" s="47" t="s">
        <v>148</v>
      </c>
      <c r="G40" s="44"/>
      <c r="L40" s="350"/>
      <c r="M40" s="350"/>
      <c r="N40" s="350"/>
      <c r="O40" s="350"/>
      <c r="P40" s="350"/>
      <c r="Q40" s="350"/>
      <c r="R40" s="350"/>
      <c r="S40" s="350"/>
      <c r="T40" s="350"/>
    </row>
    <row r="41" spans="1:20" ht="18.75" x14ac:dyDescent="0.3">
      <c r="A41" s="430" t="s">
        <v>149</v>
      </c>
      <c r="B41" s="431"/>
      <c r="C41" s="431"/>
      <c r="D41" s="431"/>
      <c r="E41" s="431"/>
      <c r="F41" s="432"/>
      <c r="G41" s="439"/>
      <c r="L41" s="369" t="s">
        <v>106</v>
      </c>
      <c r="M41" s="369"/>
    </row>
    <row r="42" spans="1:20" ht="4.5" customHeight="1" thickBot="1" x14ac:dyDescent="0.3">
      <c r="A42" s="433"/>
      <c r="B42" s="434"/>
      <c r="C42" s="434"/>
      <c r="D42" s="434"/>
      <c r="E42" s="434"/>
      <c r="F42" s="435"/>
      <c r="G42" s="439"/>
      <c r="L42" s="72"/>
      <c r="M42" s="72"/>
    </row>
    <row r="43" spans="1:20" ht="15.75" customHeight="1" thickBot="1" x14ac:dyDescent="0.25">
      <c r="A43" s="436"/>
      <c r="B43" s="437"/>
      <c r="C43" s="437"/>
      <c r="D43" s="437"/>
      <c r="E43" s="437"/>
      <c r="F43" s="438"/>
      <c r="G43" s="439"/>
      <c r="L43" s="327" t="s">
        <v>110</v>
      </c>
      <c r="M43" s="302"/>
      <c r="N43" s="325" t="s">
        <v>109</v>
      </c>
      <c r="O43" s="326"/>
      <c r="P43" s="327" t="s">
        <v>108</v>
      </c>
      <c r="Q43" s="302"/>
      <c r="R43" s="303"/>
      <c r="S43" s="302" t="s">
        <v>107</v>
      </c>
      <c r="T43" s="303"/>
    </row>
    <row r="44" spans="1:20" ht="15.75" customHeight="1" thickBot="1" x14ac:dyDescent="0.3">
      <c r="A44" s="54" t="s">
        <v>150</v>
      </c>
      <c r="L44" s="51">
        <f>L4</f>
        <v>0</v>
      </c>
      <c r="M44" s="64"/>
      <c r="N44" s="65">
        <f>N4</f>
        <v>0</v>
      </c>
      <c r="O44" s="161" t="s">
        <v>413</v>
      </c>
      <c r="P44" s="328">
        <f>P4</f>
        <v>0</v>
      </c>
      <c r="Q44" s="329"/>
      <c r="R44" s="330"/>
      <c r="S44" s="331">
        <f>S4</f>
        <v>0</v>
      </c>
      <c r="T44" s="332"/>
    </row>
    <row r="45" spans="1:20" ht="15" customHeight="1" x14ac:dyDescent="0.2">
      <c r="A45" s="54" t="s">
        <v>151</v>
      </c>
      <c r="L45" s="325" t="s">
        <v>296</v>
      </c>
      <c r="M45" s="326"/>
      <c r="N45" s="325" t="s">
        <v>295</v>
      </c>
      <c r="O45" s="326"/>
      <c r="P45" s="333" t="s">
        <v>294</v>
      </c>
      <c r="Q45" s="339" t="s">
        <v>293</v>
      </c>
      <c r="R45" s="333" t="s">
        <v>155</v>
      </c>
      <c r="S45" s="325" t="s">
        <v>292</v>
      </c>
      <c r="T45" s="326"/>
    </row>
    <row r="46" spans="1:20" ht="18.75" customHeight="1" thickBot="1" x14ac:dyDescent="0.25">
      <c r="L46" s="309"/>
      <c r="M46" s="311"/>
      <c r="N46" s="309"/>
      <c r="O46" s="311"/>
      <c r="P46" s="367"/>
      <c r="Q46" s="368"/>
      <c r="R46" s="367"/>
      <c r="S46" s="309"/>
      <c r="T46" s="311"/>
    </row>
    <row r="47" spans="1:20" ht="18.75" customHeight="1" x14ac:dyDescent="0.2">
      <c r="L47" s="353"/>
      <c r="M47" s="354"/>
      <c r="N47" s="363" t="s">
        <v>154</v>
      </c>
      <c r="O47" s="364"/>
      <c r="P47" s="359"/>
      <c r="Q47" s="361" t="s">
        <v>141</v>
      </c>
      <c r="R47" s="361" t="s">
        <v>141</v>
      </c>
      <c r="S47" s="69" t="s">
        <v>156</v>
      </c>
      <c r="T47" s="361">
        <v>1</v>
      </c>
    </row>
    <row r="48" spans="1:20" ht="42.75" customHeight="1" thickBot="1" x14ac:dyDescent="0.25">
      <c r="L48" s="355"/>
      <c r="M48" s="356"/>
      <c r="N48" s="365"/>
      <c r="O48" s="366"/>
      <c r="P48" s="360"/>
      <c r="Q48" s="362"/>
      <c r="R48" s="362"/>
      <c r="S48" s="70" t="s">
        <v>319</v>
      </c>
      <c r="T48" s="362"/>
    </row>
    <row r="49" spans="12:20" ht="17.25" customHeight="1" x14ac:dyDescent="0.2">
      <c r="L49" s="353"/>
      <c r="M49" s="354"/>
      <c r="N49" s="363" t="s">
        <v>154</v>
      </c>
      <c r="O49" s="364"/>
      <c r="P49" s="359"/>
      <c r="Q49" s="361" t="s">
        <v>141</v>
      </c>
      <c r="R49" s="361" t="s">
        <v>141</v>
      </c>
      <c r="S49" s="75" t="s">
        <v>157</v>
      </c>
      <c r="T49" s="361">
        <v>2</v>
      </c>
    </row>
    <row r="50" spans="12:20" ht="71.25" customHeight="1" thickBot="1" x14ac:dyDescent="0.25">
      <c r="L50" s="355"/>
      <c r="M50" s="356"/>
      <c r="N50" s="365"/>
      <c r="O50" s="366"/>
      <c r="P50" s="360"/>
      <c r="Q50" s="362"/>
      <c r="R50" s="362"/>
      <c r="S50" s="108" t="s">
        <v>320</v>
      </c>
      <c r="T50" s="362"/>
    </row>
    <row r="51" spans="12:20" x14ac:dyDescent="0.2">
      <c r="L51" s="353"/>
      <c r="M51" s="354"/>
      <c r="N51" s="353"/>
      <c r="O51" s="357"/>
      <c r="P51" s="359"/>
      <c r="Q51" s="361" t="s">
        <v>141</v>
      </c>
      <c r="R51" s="361" t="s">
        <v>141</v>
      </c>
      <c r="S51" s="116"/>
      <c r="T51" s="361">
        <v>3</v>
      </c>
    </row>
    <row r="52" spans="12:20" ht="43.5" customHeight="1" thickBot="1" x14ac:dyDescent="0.25">
      <c r="L52" s="355"/>
      <c r="M52" s="356"/>
      <c r="N52" s="355"/>
      <c r="O52" s="358"/>
      <c r="P52" s="360"/>
      <c r="Q52" s="362"/>
      <c r="R52" s="362"/>
      <c r="S52" s="117"/>
      <c r="T52" s="362"/>
    </row>
    <row r="53" spans="12:20" x14ac:dyDescent="0.2">
      <c r="L53" s="353"/>
      <c r="M53" s="354"/>
      <c r="N53" s="353"/>
      <c r="O53" s="357"/>
      <c r="P53" s="359"/>
      <c r="Q53" s="361" t="s">
        <v>141</v>
      </c>
      <c r="R53" s="361" t="s">
        <v>141</v>
      </c>
      <c r="S53" s="114"/>
      <c r="T53" s="361">
        <v>4</v>
      </c>
    </row>
    <row r="54" spans="12:20" ht="23.25" customHeight="1" thickBot="1" x14ac:dyDescent="0.25">
      <c r="L54" s="355"/>
      <c r="M54" s="356"/>
      <c r="N54" s="355"/>
      <c r="O54" s="358"/>
      <c r="P54" s="360"/>
      <c r="Q54" s="362"/>
      <c r="R54" s="362"/>
      <c r="S54" s="115"/>
      <c r="T54" s="362"/>
    </row>
    <row r="55" spans="12:20" x14ac:dyDescent="0.2">
      <c r="L55" s="353"/>
      <c r="M55" s="354"/>
      <c r="N55" s="353"/>
      <c r="O55" s="357"/>
      <c r="P55" s="359"/>
      <c r="Q55" s="361" t="s">
        <v>141</v>
      </c>
      <c r="R55" s="361" t="s">
        <v>141</v>
      </c>
      <c r="S55" s="116"/>
      <c r="T55" s="361">
        <v>5</v>
      </c>
    </row>
    <row r="56" spans="12:20" ht="31.5" customHeight="1" thickBot="1" x14ac:dyDescent="0.25">
      <c r="L56" s="355"/>
      <c r="M56" s="356"/>
      <c r="N56" s="355"/>
      <c r="O56" s="358"/>
      <c r="P56" s="360"/>
      <c r="Q56" s="362"/>
      <c r="R56" s="362"/>
      <c r="S56" s="117"/>
      <c r="T56" s="362"/>
    </row>
    <row r="57" spans="12:20" x14ac:dyDescent="0.2">
      <c r="L57" s="353"/>
      <c r="M57" s="354"/>
      <c r="N57" s="353"/>
      <c r="O57" s="357"/>
      <c r="P57" s="359"/>
      <c r="Q57" s="361" t="s">
        <v>141</v>
      </c>
      <c r="R57" s="361" t="s">
        <v>141</v>
      </c>
      <c r="S57" s="114"/>
      <c r="T57" s="361">
        <v>6</v>
      </c>
    </row>
    <row r="58" spans="12:20" ht="32.25" customHeight="1" thickBot="1" x14ac:dyDescent="0.25">
      <c r="L58" s="355"/>
      <c r="M58" s="356"/>
      <c r="N58" s="355"/>
      <c r="O58" s="358"/>
      <c r="P58" s="360"/>
      <c r="Q58" s="362"/>
      <c r="R58" s="362"/>
      <c r="S58" s="115"/>
      <c r="T58" s="362"/>
    </row>
    <row r="59" spans="12:20" x14ac:dyDescent="0.2">
      <c r="L59" s="353"/>
      <c r="M59" s="354"/>
      <c r="N59" s="353"/>
      <c r="O59" s="357"/>
      <c r="P59" s="359"/>
      <c r="Q59" s="361" t="s">
        <v>141</v>
      </c>
      <c r="R59" s="361" t="s">
        <v>141</v>
      </c>
      <c r="S59" s="116"/>
      <c r="T59" s="361">
        <v>7</v>
      </c>
    </row>
    <row r="60" spans="12:20" ht="31.5" customHeight="1" thickBot="1" x14ac:dyDescent="0.25">
      <c r="L60" s="355"/>
      <c r="M60" s="356"/>
      <c r="N60" s="355"/>
      <c r="O60" s="358"/>
      <c r="P60" s="360"/>
      <c r="Q60" s="362"/>
      <c r="R60" s="362"/>
      <c r="S60" s="117"/>
      <c r="T60" s="362"/>
    </row>
    <row r="61" spans="12:20" ht="31.5" customHeight="1" thickBot="1" x14ac:dyDescent="0.25">
      <c r="L61" s="469" t="s">
        <v>188</v>
      </c>
      <c r="M61" s="470"/>
      <c r="N61" s="470"/>
      <c r="O61" s="470"/>
      <c r="P61" s="471"/>
      <c r="Q61" s="467" t="s">
        <v>187</v>
      </c>
      <c r="R61" s="467"/>
      <c r="S61" s="467"/>
      <c r="T61" s="468"/>
    </row>
    <row r="62" spans="12:20" ht="15" thickBot="1" x14ac:dyDescent="0.25">
      <c r="L62" s="82"/>
      <c r="M62" s="83"/>
      <c r="N62" s="83"/>
      <c r="O62" s="83"/>
      <c r="P62" s="8"/>
      <c r="Q62" s="83"/>
      <c r="R62" s="83"/>
      <c r="S62" s="83"/>
      <c r="T62" s="8"/>
    </row>
    <row r="63" spans="12:20" ht="15" thickBot="1" x14ac:dyDescent="0.25">
      <c r="L63" s="82"/>
      <c r="M63" s="83"/>
      <c r="N63" s="83" t="s">
        <v>141</v>
      </c>
      <c r="O63" s="83"/>
      <c r="P63" s="8"/>
      <c r="Q63" s="83"/>
      <c r="R63" s="83" t="s">
        <v>141</v>
      </c>
      <c r="S63" s="83"/>
      <c r="T63" s="8"/>
    </row>
    <row r="64" spans="12:20" ht="15" thickBot="1" x14ac:dyDescent="0.25">
      <c r="L64" s="39"/>
      <c r="M64" s="23"/>
      <c r="N64" s="23"/>
      <c r="O64" s="23"/>
      <c r="P64" s="40"/>
      <c r="T64" s="38"/>
    </row>
    <row r="65" spans="12:20" ht="15.75" customHeight="1" x14ac:dyDescent="0.2">
      <c r="L65" s="34"/>
      <c r="M65" s="35"/>
      <c r="N65" s="35"/>
      <c r="O65" s="35"/>
      <c r="P65" s="68"/>
      <c r="Q65" s="68"/>
      <c r="R65" s="351" t="s">
        <v>173</v>
      </c>
      <c r="S65" s="351"/>
      <c r="T65" s="352"/>
    </row>
    <row r="66" spans="12:20" x14ac:dyDescent="0.2">
      <c r="L66" s="37"/>
      <c r="T66" s="38"/>
    </row>
    <row r="67" spans="12:20" ht="15" thickBot="1" x14ac:dyDescent="0.25">
      <c r="L67" s="39"/>
      <c r="M67" s="23"/>
      <c r="N67" s="23"/>
      <c r="O67" s="23"/>
      <c r="P67" s="23"/>
      <c r="Q67" s="23"/>
      <c r="R67" s="23"/>
      <c r="S67" s="23"/>
      <c r="T67" s="40"/>
    </row>
    <row r="71" spans="12:20" ht="33.75" customHeight="1" x14ac:dyDescent="0.2"/>
    <row r="72" spans="12:20" ht="36.75" customHeight="1" x14ac:dyDescent="0.2"/>
    <row r="73" spans="12:20" ht="39" customHeight="1" x14ac:dyDescent="0.2">
      <c r="L73" s="350" t="s">
        <v>174</v>
      </c>
      <c r="M73" s="350"/>
      <c r="N73" s="350"/>
      <c r="O73" s="350"/>
      <c r="P73" s="350"/>
      <c r="Q73" s="350"/>
      <c r="R73" s="350"/>
      <c r="S73" s="350"/>
      <c r="T73" s="350"/>
    </row>
    <row r="74" spans="12:20" ht="14.25" customHeight="1" x14ac:dyDescent="0.2">
      <c r="L74" s="315" t="s">
        <v>175</v>
      </c>
      <c r="M74" s="315"/>
    </row>
    <row r="75" spans="12:20" ht="14.25" customHeight="1" thickBot="1" x14ac:dyDescent="0.25">
      <c r="L75" s="41"/>
      <c r="M75" s="41"/>
    </row>
    <row r="76" spans="12:20" x14ac:dyDescent="0.2">
      <c r="L76" s="327" t="s">
        <v>110</v>
      </c>
      <c r="M76" s="302"/>
      <c r="N76" s="325" t="s">
        <v>109</v>
      </c>
      <c r="O76" s="326"/>
      <c r="P76" s="327" t="s">
        <v>108</v>
      </c>
      <c r="Q76" s="302"/>
      <c r="R76" s="303"/>
      <c r="S76" s="302" t="s">
        <v>107</v>
      </c>
      <c r="T76" s="303"/>
    </row>
    <row r="77" spans="12:20" ht="15" customHeight="1" thickBot="1" x14ac:dyDescent="0.3">
      <c r="L77" s="51">
        <f>L44</f>
        <v>0</v>
      </c>
      <c r="M77" s="64"/>
      <c r="N77" s="65">
        <f>N44</f>
        <v>0</v>
      </c>
      <c r="O77" s="58"/>
      <c r="P77" s="328">
        <f>P44</f>
        <v>0</v>
      </c>
      <c r="Q77" s="329"/>
      <c r="R77" s="330"/>
      <c r="S77" s="331">
        <f>S44</f>
        <v>0</v>
      </c>
      <c r="T77" s="332"/>
    </row>
    <row r="78" spans="12:20" ht="15" customHeight="1" thickBot="1" x14ac:dyDescent="0.25">
      <c r="L78" s="51"/>
      <c r="M78" s="64"/>
      <c r="N78" s="347" t="s">
        <v>177</v>
      </c>
      <c r="O78" s="348"/>
      <c r="P78" s="349"/>
      <c r="Q78" s="347" t="s">
        <v>176</v>
      </c>
      <c r="R78" s="348"/>
      <c r="S78" s="348"/>
      <c r="T78" s="349"/>
    </row>
    <row r="79" spans="12:20" ht="15" customHeight="1" x14ac:dyDescent="0.2">
      <c r="L79" s="339" t="s">
        <v>297</v>
      </c>
      <c r="M79" s="333" t="s">
        <v>183</v>
      </c>
      <c r="N79" s="333" t="s">
        <v>182</v>
      </c>
      <c r="O79" s="339" t="s">
        <v>181</v>
      </c>
      <c r="P79" s="339" t="s">
        <v>180</v>
      </c>
      <c r="Q79" s="333" t="s">
        <v>179</v>
      </c>
      <c r="R79" s="333" t="s">
        <v>178</v>
      </c>
      <c r="S79" s="335" t="s">
        <v>185</v>
      </c>
      <c r="T79" s="336"/>
    </row>
    <row r="80" spans="12:20" ht="37.5" customHeight="1" thickBot="1" x14ac:dyDescent="0.25">
      <c r="L80" s="340"/>
      <c r="M80" s="334"/>
      <c r="N80" s="334"/>
      <c r="O80" s="340"/>
      <c r="P80" s="340"/>
      <c r="Q80" s="334"/>
      <c r="R80" s="334"/>
      <c r="S80" s="337"/>
      <c r="T80" s="338"/>
    </row>
    <row r="81" spans="12:20" ht="15" thickBot="1" x14ac:dyDescent="0.25">
      <c r="L81" s="53"/>
      <c r="M81" s="74"/>
      <c r="N81" s="74"/>
      <c r="O81" s="53"/>
      <c r="P81" s="53"/>
      <c r="Q81" s="74"/>
      <c r="R81" s="74"/>
      <c r="S81" s="343"/>
      <c r="T81" s="344"/>
    </row>
    <row r="82" spans="12:20" ht="15" thickBot="1" x14ac:dyDescent="0.25">
      <c r="L82" s="73"/>
      <c r="M82" s="59"/>
      <c r="N82" s="59"/>
      <c r="O82" s="59"/>
      <c r="P82" s="59"/>
      <c r="Q82" s="59"/>
      <c r="R82" s="59"/>
      <c r="S82" s="345"/>
      <c r="T82" s="346"/>
    </row>
    <row r="83" spans="12:20" ht="15" thickBot="1" x14ac:dyDescent="0.25">
      <c r="L83" s="76"/>
      <c r="M83" s="77"/>
      <c r="N83" s="77"/>
      <c r="O83" s="77"/>
      <c r="P83" s="77"/>
      <c r="Q83" s="77"/>
      <c r="R83" s="77"/>
      <c r="S83" s="341"/>
      <c r="T83" s="342"/>
    </row>
    <row r="84" spans="12:20" ht="15" thickBot="1" x14ac:dyDescent="0.25">
      <c r="L84" s="76"/>
      <c r="M84" s="77"/>
      <c r="N84" s="77"/>
      <c r="O84" s="77"/>
      <c r="P84" s="77"/>
      <c r="Q84" s="77"/>
      <c r="R84" s="77"/>
      <c r="S84" s="341"/>
      <c r="T84" s="342"/>
    </row>
    <row r="85" spans="12:20" ht="15" thickBot="1" x14ac:dyDescent="0.25">
      <c r="L85" s="76"/>
      <c r="M85" s="77"/>
      <c r="N85" s="77"/>
      <c r="O85" s="77"/>
      <c r="P85" s="77"/>
      <c r="Q85" s="77"/>
      <c r="R85" s="77"/>
      <c r="S85" s="341"/>
      <c r="T85" s="342"/>
    </row>
    <row r="86" spans="12:20" ht="15" thickBot="1" x14ac:dyDescent="0.25">
      <c r="L86" s="76"/>
      <c r="M86" s="77"/>
      <c r="N86" s="77"/>
      <c r="O86" s="77"/>
      <c r="P86" s="77"/>
      <c r="Q86" s="77"/>
      <c r="R86" s="77"/>
      <c r="S86" s="341"/>
      <c r="T86" s="342"/>
    </row>
    <row r="87" spans="12:20" ht="15" thickBot="1" x14ac:dyDescent="0.25">
      <c r="L87" s="76"/>
      <c r="M87" s="77"/>
      <c r="N87" s="77"/>
      <c r="O87" s="77"/>
      <c r="P87" s="77"/>
      <c r="Q87" s="77"/>
      <c r="R87" s="77"/>
      <c r="S87" s="341"/>
      <c r="T87" s="342"/>
    </row>
    <row r="88" spans="12:20" ht="15" thickBot="1" x14ac:dyDescent="0.25">
      <c r="L88" s="76"/>
      <c r="M88" s="77"/>
      <c r="N88" s="77"/>
      <c r="O88" s="77"/>
      <c r="P88" s="77"/>
      <c r="Q88" s="77"/>
      <c r="R88" s="77"/>
      <c r="S88" s="341"/>
      <c r="T88" s="342"/>
    </row>
    <row r="89" spans="12:20" ht="15" thickBot="1" x14ac:dyDescent="0.25">
      <c r="L89" s="76"/>
      <c r="M89" s="77"/>
      <c r="N89" s="77"/>
      <c r="O89" s="77"/>
      <c r="P89" s="77"/>
      <c r="Q89" s="77"/>
      <c r="R89" s="77"/>
      <c r="S89" s="341"/>
      <c r="T89" s="342"/>
    </row>
    <row r="90" spans="12:20" ht="15" thickBot="1" x14ac:dyDescent="0.25">
      <c r="L90" s="76"/>
      <c r="M90" s="77"/>
      <c r="N90" s="79"/>
      <c r="O90" s="79"/>
      <c r="P90" s="79"/>
      <c r="Q90" s="79"/>
      <c r="R90" s="77"/>
      <c r="S90" s="341"/>
      <c r="T90" s="342"/>
    </row>
    <row r="91" spans="12:20" ht="16.5" thickBot="1" x14ac:dyDescent="0.25">
      <c r="L91" s="76"/>
      <c r="M91" s="78"/>
      <c r="N91" s="324">
        <f>L44</f>
        <v>0</v>
      </c>
      <c r="O91" s="322"/>
      <c r="P91" s="322" t="s">
        <v>414</v>
      </c>
      <c r="Q91" s="323"/>
      <c r="R91" s="84" t="s">
        <v>184</v>
      </c>
      <c r="S91" s="341"/>
      <c r="T91" s="342"/>
    </row>
    <row r="92" spans="12:20" ht="15" thickBot="1" x14ac:dyDescent="0.25">
      <c r="L92" s="76"/>
      <c r="M92" s="77"/>
      <c r="N92" s="77"/>
      <c r="O92" s="78"/>
      <c r="P92" s="76"/>
      <c r="Q92" s="76"/>
      <c r="R92" s="77"/>
      <c r="S92" s="341"/>
      <c r="T92" s="342"/>
    </row>
    <row r="93" spans="12:20" ht="15" thickBot="1" x14ac:dyDescent="0.25">
      <c r="L93" s="76"/>
      <c r="M93" s="77"/>
      <c r="N93" s="77"/>
      <c r="O93" s="77"/>
      <c r="P93" s="77"/>
      <c r="Q93" s="77"/>
      <c r="R93" s="77"/>
      <c r="S93" s="341"/>
      <c r="T93" s="342"/>
    </row>
    <row r="94" spans="12:20" ht="15" thickBot="1" x14ac:dyDescent="0.25">
      <c r="L94" s="76"/>
      <c r="M94" s="77"/>
      <c r="N94" s="77"/>
      <c r="O94" s="77"/>
      <c r="P94" s="77"/>
      <c r="Q94" s="77"/>
      <c r="R94" s="77"/>
      <c r="S94" s="341"/>
      <c r="T94" s="342"/>
    </row>
    <row r="95" spans="12:20" ht="15" thickBot="1" x14ac:dyDescent="0.25">
      <c r="L95" s="76"/>
      <c r="M95" s="77"/>
      <c r="N95" s="77"/>
      <c r="O95" s="77"/>
      <c r="P95" s="77"/>
      <c r="Q95" s="77"/>
      <c r="R95" s="77"/>
      <c r="S95" s="341"/>
      <c r="T95" s="342"/>
    </row>
    <row r="96" spans="12:20" ht="15" thickBot="1" x14ac:dyDescent="0.25">
      <c r="L96" s="76"/>
      <c r="M96" s="77"/>
      <c r="N96" s="77"/>
      <c r="O96" s="77"/>
      <c r="P96" s="77"/>
      <c r="Q96" s="77"/>
      <c r="R96" s="77"/>
      <c r="S96" s="341"/>
      <c r="T96" s="342"/>
    </row>
    <row r="97" spans="12:20" ht="15" thickBot="1" x14ac:dyDescent="0.25">
      <c r="L97" s="76"/>
      <c r="M97" s="77"/>
      <c r="N97" s="77"/>
      <c r="O97" s="77"/>
      <c r="P97" s="77"/>
      <c r="Q97" s="77"/>
      <c r="R97" s="77"/>
      <c r="S97" s="341"/>
      <c r="T97" s="342"/>
    </row>
    <row r="98" spans="12:20" ht="15" thickBot="1" x14ac:dyDescent="0.25">
      <c r="L98" s="76"/>
      <c r="M98" s="77"/>
      <c r="N98" s="77"/>
      <c r="O98" s="77"/>
      <c r="P98" s="77"/>
      <c r="Q98" s="77"/>
      <c r="R98" s="77"/>
      <c r="S98" s="341"/>
      <c r="T98" s="342"/>
    </row>
    <row r="99" spans="12:20" ht="15" thickBot="1" x14ac:dyDescent="0.25">
      <c r="L99" s="76"/>
      <c r="M99" s="77"/>
      <c r="N99" s="77"/>
      <c r="O99" s="77"/>
      <c r="P99" s="77"/>
      <c r="Q99" s="77"/>
      <c r="R99" s="77"/>
      <c r="S99" s="341"/>
      <c r="T99" s="342"/>
    </row>
    <row r="100" spans="12:20" ht="15" thickBot="1" x14ac:dyDescent="0.25">
      <c r="L100" s="76"/>
      <c r="M100" s="77"/>
      <c r="N100" s="77"/>
      <c r="O100" s="77"/>
      <c r="P100" s="77"/>
      <c r="Q100" s="77"/>
      <c r="R100" s="77"/>
      <c r="S100" s="341"/>
      <c r="T100" s="342"/>
    </row>
    <row r="101" spans="12:20" ht="15" thickBot="1" x14ac:dyDescent="0.25">
      <c r="L101" s="76"/>
      <c r="M101" s="77"/>
      <c r="N101" s="77"/>
      <c r="O101" s="77"/>
      <c r="P101" s="77"/>
      <c r="Q101" s="77"/>
      <c r="R101" s="77"/>
      <c r="S101" s="341"/>
      <c r="T101" s="342"/>
    </row>
    <row r="102" spans="12:20" ht="15" thickBot="1" x14ac:dyDescent="0.25">
      <c r="L102" s="76"/>
      <c r="M102" s="77"/>
      <c r="N102" s="77"/>
      <c r="O102" s="77"/>
      <c r="P102" s="77"/>
      <c r="Q102" s="77"/>
      <c r="R102" s="77"/>
      <c r="S102" s="341"/>
      <c r="T102" s="342"/>
    </row>
    <row r="103" spans="12:20" ht="15" thickBot="1" x14ac:dyDescent="0.25">
      <c r="L103" s="76"/>
      <c r="M103" s="77"/>
      <c r="N103" s="77"/>
      <c r="O103" s="77"/>
      <c r="P103" s="77"/>
      <c r="Q103" s="77"/>
      <c r="R103" s="77"/>
      <c r="S103" s="341"/>
      <c r="T103" s="342"/>
    </row>
  </sheetData>
  <mergeCells count="279">
    <mergeCell ref="F5:F6"/>
    <mergeCell ref="G5:G6"/>
    <mergeCell ref="A7:B7"/>
    <mergeCell ref="C7:D7"/>
    <mergeCell ref="S3:T3"/>
    <mergeCell ref="S4:T4"/>
    <mergeCell ref="Q61:T61"/>
    <mergeCell ref="L61:P61"/>
    <mergeCell ref="A8:B8"/>
    <mergeCell ref="C8:D8"/>
    <mergeCell ref="A9:B9"/>
    <mergeCell ref="C9:D9"/>
    <mergeCell ref="A10:B10"/>
    <mergeCell ref="C10:D10"/>
    <mergeCell ref="A5:B6"/>
    <mergeCell ref="C5:D6"/>
    <mergeCell ref="E5:E6"/>
    <mergeCell ref="C15:F15"/>
    <mergeCell ref="G13:G14"/>
    <mergeCell ref="A16:F16"/>
    <mergeCell ref="A17:F17"/>
    <mergeCell ref="G16:G17"/>
    <mergeCell ref="A18:F18"/>
    <mergeCell ref="A11:B11"/>
    <mergeCell ref="C11:D11"/>
    <mergeCell ref="A12:A14"/>
    <mergeCell ref="B12:B14"/>
    <mergeCell ref="D12:F12"/>
    <mergeCell ref="C13:F13"/>
    <mergeCell ref="C14:F14"/>
    <mergeCell ref="A22:B22"/>
    <mergeCell ref="C22:D22"/>
    <mergeCell ref="A23:B23"/>
    <mergeCell ref="C23:D23"/>
    <mergeCell ref="A24:B24"/>
    <mergeCell ref="C24:D24"/>
    <mergeCell ref="A19:B19"/>
    <mergeCell ref="C19:D19"/>
    <mergeCell ref="A20:B20"/>
    <mergeCell ref="C20:D20"/>
    <mergeCell ref="A21:B21"/>
    <mergeCell ref="C21:D21"/>
    <mergeCell ref="C31:D31"/>
    <mergeCell ref="A28:B28"/>
    <mergeCell ref="C28:D28"/>
    <mergeCell ref="A25:B25"/>
    <mergeCell ref="C25:D25"/>
    <mergeCell ref="A26:B26"/>
    <mergeCell ref="C26:D26"/>
    <mergeCell ref="A27:B27"/>
    <mergeCell ref="C27:D27"/>
    <mergeCell ref="A40:E40"/>
    <mergeCell ref="A41:F43"/>
    <mergeCell ref="G41:G43"/>
    <mergeCell ref="S6:T6"/>
    <mergeCell ref="S7:T7"/>
    <mergeCell ref="Q7:R7"/>
    <mergeCell ref="A35:F36"/>
    <mergeCell ref="G35:G36"/>
    <mergeCell ref="A37:E37"/>
    <mergeCell ref="A38:E39"/>
    <mergeCell ref="F38:F39"/>
    <mergeCell ref="G38:G39"/>
    <mergeCell ref="A32:B32"/>
    <mergeCell ref="C32:D32"/>
    <mergeCell ref="A33:B33"/>
    <mergeCell ref="C33:D33"/>
    <mergeCell ref="A34:B34"/>
    <mergeCell ref="C34:D34"/>
    <mergeCell ref="A29:B29"/>
    <mergeCell ref="C29:D29"/>
    <mergeCell ref="A30:B30"/>
    <mergeCell ref="C30:D30"/>
    <mergeCell ref="A31:B31"/>
    <mergeCell ref="S8:T8"/>
    <mergeCell ref="L15:T15"/>
    <mergeCell ref="L16:M16"/>
    <mergeCell ref="Q8:R8"/>
    <mergeCell ref="O8:P8"/>
    <mergeCell ref="S5:T5"/>
    <mergeCell ref="P3:R3"/>
    <mergeCell ref="L6:M6"/>
    <mergeCell ref="L5:M5"/>
    <mergeCell ref="L19:M19"/>
    <mergeCell ref="O7:P7"/>
    <mergeCell ref="L7:N7"/>
    <mergeCell ref="L8:N8"/>
    <mergeCell ref="N5:O5"/>
    <mergeCell ref="N6:O6"/>
    <mergeCell ref="P4:R4"/>
    <mergeCell ref="P6:R6"/>
    <mergeCell ref="P5:R5"/>
    <mergeCell ref="L3:M3"/>
    <mergeCell ref="N3:O3"/>
    <mergeCell ref="L13:T13"/>
    <mergeCell ref="L14:T14"/>
    <mergeCell ref="R11:R12"/>
    <mergeCell ref="R9:R10"/>
    <mergeCell ref="N18:P18"/>
    <mergeCell ref="L24:M24"/>
    <mergeCell ref="N24:P24"/>
    <mergeCell ref="L20:M20"/>
    <mergeCell ref="L21:M21"/>
    <mergeCell ref="S16:T16"/>
    <mergeCell ref="L17:M17"/>
    <mergeCell ref="L18:M18"/>
    <mergeCell ref="Q16:R16"/>
    <mergeCell ref="N16:P16"/>
    <mergeCell ref="Q17:R17"/>
    <mergeCell ref="Q18:R18"/>
    <mergeCell ref="Q19:R19"/>
    <mergeCell ref="Q20:R20"/>
    <mergeCell ref="S23:T23"/>
    <mergeCell ref="S24:T24"/>
    <mergeCell ref="S17:T17"/>
    <mergeCell ref="S18:T18"/>
    <mergeCell ref="S19:T19"/>
    <mergeCell ref="S20:T20"/>
    <mergeCell ref="S21:T21"/>
    <mergeCell ref="L22:M22"/>
    <mergeCell ref="L23:M23"/>
    <mergeCell ref="S22:T22"/>
    <mergeCell ref="N17:P17"/>
    <mergeCell ref="L31:M31"/>
    <mergeCell ref="N29:P29"/>
    <mergeCell ref="N30:P30"/>
    <mergeCell ref="N31:P31"/>
    <mergeCell ref="S31:T31"/>
    <mergeCell ref="L28:M28"/>
    <mergeCell ref="N28:P28"/>
    <mergeCell ref="L25:M25"/>
    <mergeCell ref="L26:M26"/>
    <mergeCell ref="L27:M27"/>
    <mergeCell ref="N25:P25"/>
    <mergeCell ref="N26:P26"/>
    <mergeCell ref="N27:P27"/>
    <mergeCell ref="S29:T29"/>
    <mergeCell ref="S30:T30"/>
    <mergeCell ref="S25:T25"/>
    <mergeCell ref="S26:T26"/>
    <mergeCell ref="S27:T27"/>
    <mergeCell ref="S28:T28"/>
    <mergeCell ref="L29:M29"/>
    <mergeCell ref="L30:M30"/>
    <mergeCell ref="Q31:R31"/>
    <mergeCell ref="N19:P19"/>
    <mergeCell ref="N20:P20"/>
    <mergeCell ref="N21:P21"/>
    <mergeCell ref="N22:P22"/>
    <mergeCell ref="N23:P23"/>
    <mergeCell ref="Q27:R27"/>
    <mergeCell ref="Q28:R28"/>
    <mergeCell ref="Q29:R29"/>
    <mergeCell ref="Q30:R30"/>
    <mergeCell ref="Q21:R21"/>
    <mergeCell ref="Q22:R22"/>
    <mergeCell ref="Q23:R23"/>
    <mergeCell ref="Q24:R24"/>
    <mergeCell ref="Q25:R25"/>
    <mergeCell ref="Q26:R26"/>
    <mergeCell ref="L39:T40"/>
    <mergeCell ref="L41:M41"/>
    <mergeCell ref="R36:T36"/>
    <mergeCell ref="O36:Q36"/>
    <mergeCell ref="S37:T37"/>
    <mergeCell ref="L37:R37"/>
    <mergeCell ref="L36:M36"/>
    <mergeCell ref="S34:T34"/>
    <mergeCell ref="L34:M34"/>
    <mergeCell ref="O34:R34"/>
    <mergeCell ref="R35:T35"/>
    <mergeCell ref="L35:M35"/>
    <mergeCell ref="O35:Q35"/>
    <mergeCell ref="S45:T46"/>
    <mergeCell ref="L45:M46"/>
    <mergeCell ref="R45:R46"/>
    <mergeCell ref="N45:O46"/>
    <mergeCell ref="L43:M43"/>
    <mergeCell ref="N43:O43"/>
    <mergeCell ref="P43:R43"/>
    <mergeCell ref="S43:T43"/>
    <mergeCell ref="P44:R44"/>
    <mergeCell ref="S44:T44"/>
    <mergeCell ref="Q45:Q46"/>
    <mergeCell ref="P45:P46"/>
    <mergeCell ref="R51:R52"/>
    <mergeCell ref="T51:T52"/>
    <mergeCell ref="L53:M54"/>
    <mergeCell ref="N53:O54"/>
    <mergeCell ref="P53:P54"/>
    <mergeCell ref="Q53:Q54"/>
    <mergeCell ref="R53:R54"/>
    <mergeCell ref="T53:T54"/>
    <mergeCell ref="N47:O48"/>
    <mergeCell ref="N49:O50"/>
    <mergeCell ref="L47:M48"/>
    <mergeCell ref="L49:M50"/>
    <mergeCell ref="L51:M52"/>
    <mergeCell ref="N51:O52"/>
    <mergeCell ref="P51:P52"/>
    <mergeCell ref="Q51:Q52"/>
    <mergeCell ref="Q47:Q48"/>
    <mergeCell ref="R47:R48"/>
    <mergeCell ref="T49:T50"/>
    <mergeCell ref="R49:R50"/>
    <mergeCell ref="P49:P50"/>
    <mergeCell ref="Q49:Q50"/>
    <mergeCell ref="P47:P48"/>
    <mergeCell ref="T47:T48"/>
    <mergeCell ref="Q55:Q56"/>
    <mergeCell ref="R55:R56"/>
    <mergeCell ref="T55:T56"/>
    <mergeCell ref="L57:M58"/>
    <mergeCell ref="N57:O58"/>
    <mergeCell ref="P57:P58"/>
    <mergeCell ref="Q57:Q58"/>
    <mergeCell ref="R57:R58"/>
    <mergeCell ref="T57:T58"/>
    <mergeCell ref="L55:M56"/>
    <mergeCell ref="N55:O56"/>
    <mergeCell ref="P55:P56"/>
    <mergeCell ref="N78:P78"/>
    <mergeCell ref="O79:O80"/>
    <mergeCell ref="N79:N80"/>
    <mergeCell ref="M79:M80"/>
    <mergeCell ref="L73:T73"/>
    <mergeCell ref="L74:M74"/>
    <mergeCell ref="L76:M76"/>
    <mergeCell ref="R65:T65"/>
    <mergeCell ref="L59:M60"/>
    <mergeCell ref="N59:O60"/>
    <mergeCell ref="P59:P60"/>
    <mergeCell ref="Q59:Q60"/>
    <mergeCell ref="R59:R60"/>
    <mergeCell ref="T59:T60"/>
    <mergeCell ref="L79:L80"/>
    <mergeCell ref="S100:T100"/>
    <mergeCell ref="S101:T101"/>
    <mergeCell ref="S102:T102"/>
    <mergeCell ref="S103:T103"/>
    <mergeCell ref="S92:T92"/>
    <mergeCell ref="S93:T93"/>
    <mergeCell ref="S94:T94"/>
    <mergeCell ref="S95:T95"/>
    <mergeCell ref="S96:T96"/>
    <mergeCell ref="S97:T97"/>
    <mergeCell ref="S91:T91"/>
    <mergeCell ref="S81:T81"/>
    <mergeCell ref="S82:T82"/>
    <mergeCell ref="S83:T83"/>
    <mergeCell ref="S84:T84"/>
    <mergeCell ref="S85:T85"/>
    <mergeCell ref="Q78:T78"/>
    <mergeCell ref="S98:T98"/>
    <mergeCell ref="S99:T99"/>
    <mergeCell ref="S9:T10"/>
    <mergeCell ref="S11:T12"/>
    <mergeCell ref="P9:Q9"/>
    <mergeCell ref="L10:Q10"/>
    <mergeCell ref="L11:Q12"/>
    <mergeCell ref="L1:T1"/>
    <mergeCell ref="L32:T33"/>
    <mergeCell ref="M9:O9"/>
    <mergeCell ref="P91:Q91"/>
    <mergeCell ref="N91:O91"/>
    <mergeCell ref="N76:O76"/>
    <mergeCell ref="P76:R76"/>
    <mergeCell ref="S76:T76"/>
    <mergeCell ref="P77:R77"/>
    <mergeCell ref="S77:T77"/>
    <mergeCell ref="R79:R80"/>
    <mergeCell ref="S79:T80"/>
    <mergeCell ref="Q79:Q80"/>
    <mergeCell ref="P79:P80"/>
    <mergeCell ref="S86:T86"/>
    <mergeCell ref="S87:T87"/>
    <mergeCell ref="S88:T88"/>
    <mergeCell ref="S89:T89"/>
    <mergeCell ref="S90:T90"/>
  </mergeCells>
  <conditionalFormatting sqref="S6:T6">
    <cfRule type="containsBlanks" dxfId="0" priority="1">
      <formula>LEN(TRIM(S6))=0</formula>
    </cfRule>
  </conditionalFormatting>
  <pageMargins left="0.25" right="0.25" top="0.75" bottom="0.75" header="0.3" footer="0.3"/>
  <pageSetup paperSize="9" orientation="portrait" r:id="rId1"/>
  <headerFooter>
    <oddHeader>&amp;L&amp;"-,מודגש"&amp;10AS/EN/SJAC 9102 Rev C First Article Inspection</oddHeader>
    <oddFooter>&amp;C9102 Rev C Forms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ltText="">
                <anchor moveWithCells="1">
                  <from>
                    <xdr:col>17</xdr:col>
                    <xdr:colOff>295275</xdr:colOff>
                    <xdr:row>7</xdr:row>
                    <xdr:rowOff>295275</xdr:rowOff>
                  </from>
                  <to>
                    <xdr:col>17</xdr:col>
                    <xdr:colOff>533400</xdr:colOff>
                    <xdr:row>9</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ltText="">
                <anchor moveWithCells="1">
                  <from>
                    <xdr:col>17</xdr:col>
                    <xdr:colOff>285750</xdr:colOff>
                    <xdr:row>9</xdr:row>
                    <xdr:rowOff>171450</xdr:rowOff>
                  </from>
                  <to>
                    <xdr:col>17</xdr:col>
                    <xdr:colOff>523875</xdr:colOff>
                    <xdr:row>10</xdr:row>
                    <xdr:rowOff>247650</xdr:rowOff>
                  </to>
                </anchor>
              </controlPr>
            </control>
          </mc:Choice>
        </mc:AlternateContent>
        <mc:AlternateContent xmlns:mc="http://schemas.openxmlformats.org/markup-compatibility/2006">
          <mc:Choice Requires="x14">
            <control shapeId="7171" r:id="rId6" name="Check Box 3">
              <controlPr defaultSize="0" autoFill="0" autoLine="0" autoPict="0" altText="">
                <anchor moveWithCells="1">
                  <from>
                    <xdr:col>15</xdr:col>
                    <xdr:colOff>85725</xdr:colOff>
                    <xdr:row>7</xdr:row>
                    <xdr:rowOff>295275</xdr:rowOff>
                  </from>
                  <to>
                    <xdr:col>15</xdr:col>
                    <xdr:colOff>323850</xdr:colOff>
                    <xdr:row>9</xdr:row>
                    <xdr:rowOff>38100</xdr:rowOff>
                  </to>
                </anchor>
              </controlPr>
            </control>
          </mc:Choice>
        </mc:AlternateContent>
        <mc:AlternateContent xmlns:mc="http://schemas.openxmlformats.org/markup-compatibility/2006">
          <mc:Choice Requires="x14">
            <control shapeId="7172" r:id="rId7" name="Check Box 4">
              <controlPr defaultSize="0" autoFill="0" autoLine="0" autoPict="0" altText="">
                <anchor moveWithCells="1">
                  <from>
                    <xdr:col>12</xdr:col>
                    <xdr:colOff>438150</xdr:colOff>
                    <xdr:row>7</xdr:row>
                    <xdr:rowOff>295275</xdr:rowOff>
                  </from>
                  <to>
                    <xdr:col>13</xdr:col>
                    <xdr:colOff>19050</xdr:colOff>
                    <xdr:row>9</xdr:row>
                    <xdr:rowOff>38100</xdr:rowOff>
                  </to>
                </anchor>
              </controlPr>
            </control>
          </mc:Choice>
        </mc:AlternateContent>
        <mc:AlternateContent xmlns:mc="http://schemas.openxmlformats.org/markup-compatibility/2006">
          <mc:Choice Requires="x14">
            <control shapeId="7176" r:id="rId8" name="Check Box 8">
              <controlPr defaultSize="0" autoFill="0" autoLine="0" autoPict="0">
                <anchor moveWithCells="1">
                  <from>
                    <xdr:col>10</xdr:col>
                    <xdr:colOff>333375</xdr:colOff>
                    <xdr:row>30</xdr:row>
                    <xdr:rowOff>171450</xdr:rowOff>
                  </from>
                  <to>
                    <xdr:col>11</xdr:col>
                    <xdr:colOff>542925</xdr:colOff>
                    <xdr:row>31</xdr:row>
                    <xdr:rowOff>180975</xdr:rowOff>
                  </to>
                </anchor>
              </controlPr>
            </control>
          </mc:Choice>
        </mc:AlternateContent>
        <mc:AlternateContent xmlns:mc="http://schemas.openxmlformats.org/markup-compatibility/2006">
          <mc:Choice Requires="x14">
            <control shapeId="7177" r:id="rId9" name="Check Box 9">
              <controlPr defaultSize="0" autoFill="0" autoLine="0" autoPict="0">
                <anchor moveWithCells="1">
                  <from>
                    <xdr:col>14</xdr:col>
                    <xdr:colOff>504825</xdr:colOff>
                    <xdr:row>30</xdr:row>
                    <xdr:rowOff>180975</xdr:rowOff>
                  </from>
                  <to>
                    <xdr:col>15</xdr:col>
                    <xdr:colOff>142875</xdr:colOff>
                    <xdr:row>31</xdr:row>
                    <xdr:rowOff>171450</xdr:rowOff>
                  </to>
                </anchor>
              </controlPr>
            </control>
          </mc:Choice>
        </mc:AlternateContent>
        <mc:AlternateContent xmlns:mc="http://schemas.openxmlformats.org/markup-compatibility/2006">
          <mc:Choice Requires="x14">
            <control shapeId="7178" r:id="rId10" name="Check Box 10">
              <controlPr defaultSize="0" autoFill="0" autoLine="0" autoPict="0">
                <anchor moveWithCells="1">
                  <from>
                    <xdr:col>13</xdr:col>
                    <xdr:colOff>638175</xdr:colOff>
                    <xdr:row>30</xdr:row>
                    <xdr:rowOff>180975</xdr:rowOff>
                  </from>
                  <to>
                    <xdr:col>14</xdr:col>
                    <xdr:colOff>209550</xdr:colOff>
                    <xdr:row>31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B40D652-71D8-4D16-A9C5-C71E8BBF19EA}">
          <x14:formula1>
            <xm:f>'ספקים ותהליכים'!$T$3:$T$35</xm:f>
          </x14:formula1>
          <xm:sqref>P49 P47 P53 P51 P57 P55 P59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348DC-341E-440A-B516-B543242F1EE1}">
  <sheetPr codeName="גיליון3"/>
  <dimension ref="A1:I49"/>
  <sheetViews>
    <sheetView rightToLeft="1" view="pageLayout" topLeftCell="A46" zoomScaleNormal="100" workbookViewId="0">
      <selection activeCell="G42" sqref="G42"/>
    </sheetView>
  </sheetViews>
  <sheetFormatPr defaultRowHeight="14.25" x14ac:dyDescent="0.2"/>
  <cols>
    <col min="1" max="1" width="4.875" bestFit="1" customWidth="1"/>
    <col min="2" max="2" width="10.75" customWidth="1"/>
    <col min="3" max="3" width="8.875" customWidth="1"/>
    <col min="4" max="4" width="1.625" customWidth="1"/>
    <col min="7" max="7" width="24" customWidth="1"/>
    <col min="8" max="8" width="9.25" customWidth="1"/>
    <col min="9" max="9" width="3" customWidth="1"/>
  </cols>
  <sheetData>
    <row r="1" spans="1:9" ht="15.75" customHeight="1" thickBot="1" x14ac:dyDescent="0.25"/>
    <row r="2" spans="1:9" ht="15.75" customHeight="1" x14ac:dyDescent="0.2">
      <c r="A2" s="526" t="s">
        <v>192</v>
      </c>
      <c r="B2" s="527"/>
      <c r="C2" s="528"/>
      <c r="D2" s="517" t="s">
        <v>190</v>
      </c>
      <c r="E2" s="518"/>
      <c r="F2" s="519"/>
      <c r="G2" s="520" t="s">
        <v>189</v>
      </c>
      <c r="H2" s="521"/>
      <c r="I2" s="522"/>
    </row>
    <row r="3" spans="1:9" ht="17.25" customHeight="1" thickBot="1" x14ac:dyDescent="0.25">
      <c r="A3" s="529"/>
      <c r="B3" s="530"/>
      <c r="C3" s="531"/>
      <c r="D3" s="523" t="s">
        <v>191</v>
      </c>
      <c r="E3" s="524"/>
      <c r="F3" s="525"/>
      <c r="G3" s="523"/>
      <c r="H3" s="524"/>
      <c r="I3" s="532"/>
    </row>
    <row r="4" spans="1:9" ht="15" customHeight="1" x14ac:dyDescent="0.2">
      <c r="A4" s="535" t="s">
        <v>268</v>
      </c>
      <c r="B4" s="521"/>
      <c r="C4" s="522"/>
      <c r="D4" s="536" t="s">
        <v>269</v>
      </c>
      <c r="E4" s="537"/>
      <c r="F4" s="538"/>
      <c r="G4" s="535" t="s">
        <v>267</v>
      </c>
      <c r="H4" s="521"/>
      <c r="I4" s="522"/>
    </row>
    <row r="5" spans="1:9" ht="15.75" thickBot="1" x14ac:dyDescent="0.25">
      <c r="A5" s="539">
        <f>מבקר!G16</f>
        <v>0</v>
      </c>
      <c r="B5" s="524"/>
      <c r="C5" s="532"/>
      <c r="D5" s="184">
        <f>מבקר!G12</f>
        <v>0</v>
      </c>
      <c r="E5" s="185"/>
      <c r="F5" s="540"/>
      <c r="G5" s="539">
        <f>מבקר!G4</f>
        <v>0</v>
      </c>
      <c r="H5" s="524"/>
      <c r="I5" s="532"/>
    </row>
    <row r="6" spans="1:9" ht="15" x14ac:dyDescent="0.2">
      <c r="A6" s="535" t="s">
        <v>272</v>
      </c>
      <c r="B6" s="521"/>
      <c r="C6" s="522"/>
      <c r="D6" s="536" t="s">
        <v>271</v>
      </c>
      <c r="E6" s="537"/>
      <c r="F6" s="538"/>
      <c r="G6" s="535" t="s">
        <v>270</v>
      </c>
      <c r="H6" s="521"/>
      <c r="I6" s="522"/>
    </row>
    <row r="7" spans="1:9" ht="15.75" thickBot="1" x14ac:dyDescent="0.25">
      <c r="A7" s="539" t="s">
        <v>273</v>
      </c>
      <c r="B7" s="524"/>
      <c r="C7" s="532"/>
      <c r="D7" s="184">
        <f>מבקר!G14</f>
        <v>0</v>
      </c>
      <c r="E7" s="185"/>
      <c r="F7" s="540"/>
      <c r="G7" s="539">
        <f>מבקר!G6</f>
        <v>0</v>
      </c>
      <c r="H7" s="524"/>
      <c r="I7" s="532"/>
    </row>
    <row r="8" spans="1:9" ht="3" customHeight="1" thickBot="1" x14ac:dyDescent="0.25">
      <c r="A8" s="104"/>
      <c r="B8" s="87"/>
      <c r="C8" s="87"/>
      <c r="D8" s="1"/>
      <c r="E8" s="1"/>
      <c r="F8" s="1"/>
      <c r="G8" s="87"/>
      <c r="H8" s="87"/>
      <c r="I8" s="87"/>
    </row>
    <row r="9" spans="1:9" ht="39" thickBot="1" x14ac:dyDescent="0.25">
      <c r="A9" s="88" t="s">
        <v>198</v>
      </c>
      <c r="B9" s="89" t="s">
        <v>197</v>
      </c>
      <c r="C9" s="541" t="s">
        <v>196</v>
      </c>
      <c r="D9" s="544"/>
      <c r="E9" s="541" t="s">
        <v>195</v>
      </c>
      <c r="F9" s="542"/>
      <c r="G9" s="543"/>
      <c r="H9" s="89" t="s">
        <v>194</v>
      </c>
      <c r="I9" s="105" t="s">
        <v>193</v>
      </c>
    </row>
    <row r="10" spans="1:9" ht="15" customHeight="1" x14ac:dyDescent="0.2">
      <c r="A10" s="494" t="s">
        <v>204</v>
      </c>
      <c r="B10" s="492" t="s">
        <v>203</v>
      </c>
      <c r="C10" s="501" t="s">
        <v>274</v>
      </c>
      <c r="D10" s="503"/>
      <c r="E10" s="501" t="s">
        <v>201</v>
      </c>
      <c r="F10" s="502"/>
      <c r="G10" s="503"/>
      <c r="H10" s="492" t="s">
        <v>200</v>
      </c>
      <c r="I10" s="496" t="s">
        <v>199</v>
      </c>
    </row>
    <row r="11" spans="1:9" ht="40.5" customHeight="1" thickBot="1" x14ac:dyDescent="0.25">
      <c r="A11" s="495"/>
      <c r="B11" s="493"/>
      <c r="C11" s="509"/>
      <c r="D11" s="510"/>
      <c r="E11" s="509" t="s">
        <v>202</v>
      </c>
      <c r="F11" s="548"/>
      <c r="G11" s="510"/>
      <c r="H11" s="493"/>
      <c r="I11" s="497"/>
    </row>
    <row r="12" spans="1:9" x14ac:dyDescent="0.2">
      <c r="A12" s="494" t="s">
        <v>210</v>
      </c>
      <c r="B12" s="492" t="s">
        <v>209</v>
      </c>
      <c r="C12" s="511" t="s">
        <v>207</v>
      </c>
      <c r="D12" s="512"/>
      <c r="E12" s="501" t="s">
        <v>205</v>
      </c>
      <c r="F12" s="502"/>
      <c r="G12" s="503"/>
      <c r="H12" s="492" t="s">
        <v>200</v>
      </c>
      <c r="I12" s="496" t="s">
        <v>199</v>
      </c>
    </row>
    <row r="13" spans="1:9" ht="15" thickBot="1" x14ac:dyDescent="0.25">
      <c r="A13" s="495"/>
      <c r="B13" s="493"/>
      <c r="C13" s="509" t="s">
        <v>208</v>
      </c>
      <c r="D13" s="510"/>
      <c r="E13" s="509" t="s">
        <v>206</v>
      </c>
      <c r="F13" s="548"/>
      <c r="G13" s="510"/>
      <c r="H13" s="493"/>
      <c r="I13" s="497"/>
    </row>
    <row r="14" spans="1:9" ht="15" thickBot="1" x14ac:dyDescent="0.25">
      <c r="A14" s="90" t="s">
        <v>214</v>
      </c>
      <c r="B14" s="91" t="s">
        <v>213</v>
      </c>
      <c r="C14" s="507" t="s">
        <v>212</v>
      </c>
      <c r="D14" s="508"/>
      <c r="E14" s="498" t="s">
        <v>211</v>
      </c>
      <c r="F14" s="499"/>
      <c r="G14" s="500"/>
      <c r="H14" s="92" t="s">
        <v>200</v>
      </c>
      <c r="I14" s="93" t="s">
        <v>199</v>
      </c>
    </row>
    <row r="15" spans="1:9" ht="18" customHeight="1" x14ac:dyDescent="0.2">
      <c r="A15" s="494" t="s">
        <v>220</v>
      </c>
      <c r="B15" s="492" t="s">
        <v>219</v>
      </c>
      <c r="C15" s="511" t="s">
        <v>218</v>
      </c>
      <c r="D15" s="512"/>
      <c r="E15" s="501" t="s">
        <v>215</v>
      </c>
      <c r="F15" s="502"/>
      <c r="G15" s="503"/>
      <c r="H15" s="492" t="s">
        <v>200</v>
      </c>
      <c r="I15" s="496"/>
    </row>
    <row r="16" spans="1:9" ht="17.25" customHeight="1" x14ac:dyDescent="0.2">
      <c r="A16" s="506"/>
      <c r="B16" s="505"/>
      <c r="C16" s="513"/>
      <c r="D16" s="514"/>
      <c r="E16" s="545" t="s">
        <v>216</v>
      </c>
      <c r="F16" s="546"/>
      <c r="G16" s="547"/>
      <c r="H16" s="505"/>
      <c r="I16" s="504"/>
    </row>
    <row r="17" spans="1:9" ht="15" thickBot="1" x14ac:dyDescent="0.25">
      <c r="A17" s="495"/>
      <c r="B17" s="493"/>
      <c r="C17" s="515"/>
      <c r="D17" s="516"/>
      <c r="E17" s="509" t="s">
        <v>217</v>
      </c>
      <c r="F17" s="548"/>
      <c r="G17" s="510"/>
      <c r="H17" s="493"/>
      <c r="I17" s="497"/>
    </row>
    <row r="18" spans="1:9" ht="23.25" customHeight="1" x14ac:dyDescent="0.2">
      <c r="A18" s="494" t="s">
        <v>228</v>
      </c>
      <c r="B18" s="492" t="s">
        <v>227</v>
      </c>
      <c r="C18" s="501" t="s">
        <v>225</v>
      </c>
      <c r="D18" s="503"/>
      <c r="E18" s="501" t="s">
        <v>223</v>
      </c>
      <c r="F18" s="502"/>
      <c r="G18" s="503"/>
      <c r="H18" s="94" t="s">
        <v>221</v>
      </c>
      <c r="I18" s="496" t="s">
        <v>199</v>
      </c>
    </row>
    <row r="19" spans="1:9" ht="22.5" customHeight="1" thickBot="1" x14ac:dyDescent="0.25">
      <c r="A19" s="495"/>
      <c r="B19" s="493"/>
      <c r="C19" s="509" t="s">
        <v>226</v>
      </c>
      <c r="D19" s="510"/>
      <c r="E19" s="509" t="s">
        <v>224</v>
      </c>
      <c r="F19" s="548"/>
      <c r="G19" s="510"/>
      <c r="H19" s="95" t="s">
        <v>222</v>
      </c>
      <c r="I19" s="497"/>
    </row>
    <row r="20" spans="1:9" ht="30.75" customHeight="1" x14ac:dyDescent="0.2">
      <c r="A20" s="534" t="s">
        <v>233</v>
      </c>
      <c r="B20" s="505" t="s">
        <v>232</v>
      </c>
      <c r="C20" s="511" t="s">
        <v>231</v>
      </c>
      <c r="D20" s="512"/>
      <c r="E20" s="545" t="s">
        <v>229</v>
      </c>
      <c r="F20" s="546"/>
      <c r="G20" s="547"/>
      <c r="H20" s="85" t="s">
        <v>221</v>
      </c>
      <c r="I20" s="533" t="s">
        <v>199</v>
      </c>
    </row>
    <row r="21" spans="1:9" ht="34.5" customHeight="1" thickBot="1" x14ac:dyDescent="0.25">
      <c r="A21" s="534"/>
      <c r="B21" s="505"/>
      <c r="C21" s="545" t="s">
        <v>226</v>
      </c>
      <c r="D21" s="547"/>
      <c r="E21" s="545" t="s">
        <v>230</v>
      </c>
      <c r="F21" s="546"/>
      <c r="G21" s="547"/>
      <c r="H21" s="96" t="s">
        <v>222</v>
      </c>
      <c r="I21" s="533"/>
    </row>
    <row r="22" spans="1:9" ht="15" customHeight="1" x14ac:dyDescent="0.2">
      <c r="A22" s="494" t="s">
        <v>238</v>
      </c>
      <c r="B22" s="492" t="s">
        <v>237</v>
      </c>
      <c r="C22" s="511" t="s">
        <v>236</v>
      </c>
      <c r="D22" s="512"/>
      <c r="E22" s="501" t="s">
        <v>234</v>
      </c>
      <c r="F22" s="502"/>
      <c r="G22" s="503"/>
      <c r="H22" s="492" t="s">
        <v>200</v>
      </c>
      <c r="I22" s="496" t="s">
        <v>199</v>
      </c>
    </row>
    <row r="23" spans="1:9" ht="15" thickBot="1" x14ac:dyDescent="0.25">
      <c r="A23" s="495"/>
      <c r="B23" s="493"/>
      <c r="C23" s="515"/>
      <c r="D23" s="516"/>
      <c r="E23" s="509" t="s">
        <v>235</v>
      </c>
      <c r="F23" s="548"/>
      <c r="G23" s="510"/>
      <c r="H23" s="493"/>
      <c r="I23" s="497"/>
    </row>
    <row r="24" spans="1:9" ht="14.25" customHeight="1" x14ac:dyDescent="0.2">
      <c r="A24" s="494" t="s">
        <v>245</v>
      </c>
      <c r="B24" s="492" t="s">
        <v>244</v>
      </c>
      <c r="C24" s="511" t="s">
        <v>243</v>
      </c>
      <c r="D24" s="512"/>
      <c r="E24" s="501" t="s">
        <v>239</v>
      </c>
      <c r="F24" s="502"/>
      <c r="G24" s="503"/>
      <c r="H24" s="492" t="s">
        <v>200</v>
      </c>
      <c r="I24" s="496"/>
    </row>
    <row r="25" spans="1:9" ht="12" customHeight="1" x14ac:dyDescent="0.2">
      <c r="A25" s="506"/>
      <c r="B25" s="505"/>
      <c r="C25" s="513"/>
      <c r="D25" s="514"/>
      <c r="E25" s="545" t="s">
        <v>240</v>
      </c>
      <c r="F25" s="546"/>
      <c r="G25" s="547"/>
      <c r="H25" s="505"/>
      <c r="I25" s="504"/>
    </row>
    <row r="26" spans="1:9" x14ac:dyDescent="0.2">
      <c r="A26" s="506"/>
      <c r="B26" s="505"/>
      <c r="C26" s="513"/>
      <c r="D26" s="514"/>
      <c r="E26" s="545" t="s">
        <v>241</v>
      </c>
      <c r="F26" s="546"/>
      <c r="G26" s="547"/>
      <c r="H26" s="505"/>
      <c r="I26" s="504"/>
    </row>
    <row r="27" spans="1:9" ht="15" thickBot="1" x14ac:dyDescent="0.25">
      <c r="A27" s="495"/>
      <c r="B27" s="493"/>
      <c r="C27" s="515"/>
      <c r="D27" s="516"/>
      <c r="E27" s="509" t="s">
        <v>242</v>
      </c>
      <c r="F27" s="548"/>
      <c r="G27" s="510"/>
      <c r="H27" s="493"/>
      <c r="I27" s="497"/>
    </row>
    <row r="28" spans="1:9" ht="24.75" customHeight="1" thickBot="1" x14ac:dyDescent="0.25">
      <c r="A28" s="90" t="s">
        <v>249</v>
      </c>
      <c r="B28" s="92" t="s">
        <v>248</v>
      </c>
      <c r="C28" s="498" t="s">
        <v>247</v>
      </c>
      <c r="D28" s="500"/>
      <c r="E28" s="498" t="s">
        <v>246</v>
      </c>
      <c r="F28" s="499"/>
      <c r="G28" s="500"/>
      <c r="H28" s="92"/>
      <c r="I28" s="93"/>
    </row>
    <row r="29" spans="1:9" ht="18" customHeight="1" x14ac:dyDescent="0.2">
      <c r="A29" s="494" t="s">
        <v>253</v>
      </c>
      <c r="B29" s="492" t="s">
        <v>252</v>
      </c>
      <c r="C29" s="501" t="s">
        <v>226</v>
      </c>
      <c r="D29" s="503"/>
      <c r="E29" s="501" t="s">
        <v>251</v>
      </c>
      <c r="F29" s="502"/>
      <c r="G29" s="503"/>
      <c r="H29" s="94" t="s">
        <v>250</v>
      </c>
      <c r="I29" s="496" t="s">
        <v>199</v>
      </c>
    </row>
    <row r="30" spans="1:9" ht="21" customHeight="1" x14ac:dyDescent="0.2">
      <c r="A30" s="506"/>
      <c r="B30" s="505"/>
      <c r="C30" s="545"/>
      <c r="D30" s="547"/>
      <c r="E30" s="545"/>
      <c r="F30" s="546"/>
      <c r="G30" s="547"/>
      <c r="H30" s="549" t="s">
        <v>222</v>
      </c>
      <c r="I30" s="504"/>
    </row>
    <row r="31" spans="1:9" ht="11.25" customHeight="1" thickBot="1" x14ac:dyDescent="0.25">
      <c r="A31" s="495"/>
      <c r="B31" s="493"/>
      <c r="C31" s="509"/>
      <c r="D31" s="510"/>
      <c r="E31" s="509"/>
      <c r="F31" s="548"/>
      <c r="G31" s="510"/>
      <c r="H31" s="550"/>
      <c r="I31" s="497"/>
    </row>
    <row r="32" spans="1:9" ht="14.25" customHeight="1" x14ac:dyDescent="0.2">
      <c r="A32" s="494" t="s">
        <v>257</v>
      </c>
      <c r="B32" s="492" t="s">
        <v>256</v>
      </c>
      <c r="C32" s="501" t="s">
        <v>255</v>
      </c>
      <c r="D32" s="503"/>
      <c r="E32" s="501" t="s">
        <v>254</v>
      </c>
      <c r="F32" s="502"/>
      <c r="G32" s="503"/>
      <c r="H32" s="492" t="s">
        <v>200</v>
      </c>
      <c r="I32" s="496" t="s">
        <v>199</v>
      </c>
    </row>
    <row r="33" spans="1:9" ht="14.25" customHeight="1" thickBot="1" x14ac:dyDescent="0.25">
      <c r="A33" s="495"/>
      <c r="B33" s="493"/>
      <c r="C33" s="509" t="s">
        <v>226</v>
      </c>
      <c r="D33" s="510"/>
      <c r="E33" s="509"/>
      <c r="F33" s="548"/>
      <c r="G33" s="510"/>
      <c r="H33" s="493"/>
      <c r="I33" s="497"/>
    </row>
    <row r="34" spans="1:9" ht="37.5" customHeight="1" x14ac:dyDescent="0.2">
      <c r="A34" s="534" t="s">
        <v>262</v>
      </c>
      <c r="B34" s="86" t="s">
        <v>260</v>
      </c>
      <c r="C34" s="545" t="s">
        <v>259</v>
      </c>
      <c r="D34" s="547"/>
      <c r="E34" s="545" t="s">
        <v>258</v>
      </c>
      <c r="F34" s="546"/>
      <c r="G34" s="547"/>
      <c r="H34" s="85" t="s">
        <v>250</v>
      </c>
      <c r="I34" s="533"/>
    </row>
    <row r="35" spans="1:9" ht="21" customHeight="1" thickBot="1" x14ac:dyDescent="0.25">
      <c r="A35" s="534"/>
      <c r="B35" s="97" t="s">
        <v>261</v>
      </c>
      <c r="C35" s="545"/>
      <c r="D35" s="547"/>
      <c r="E35" s="545"/>
      <c r="F35" s="546"/>
      <c r="G35" s="547"/>
      <c r="H35" s="98" t="s">
        <v>222</v>
      </c>
      <c r="I35" s="533"/>
    </row>
    <row r="36" spans="1:9" ht="20.25" customHeight="1" thickBot="1" x14ac:dyDescent="0.25">
      <c r="A36" s="90" t="s">
        <v>266</v>
      </c>
      <c r="B36" s="92" t="s">
        <v>265</v>
      </c>
      <c r="C36" s="498" t="s">
        <v>264</v>
      </c>
      <c r="D36" s="500"/>
      <c r="E36" s="498" t="s">
        <v>263</v>
      </c>
      <c r="F36" s="499"/>
      <c r="G36" s="500"/>
      <c r="H36" s="92" t="s">
        <v>200</v>
      </c>
      <c r="I36" s="93"/>
    </row>
    <row r="37" spans="1:9" ht="11.25" customHeight="1" x14ac:dyDescent="0.2">
      <c r="A37" s="556" t="s">
        <v>275</v>
      </c>
      <c r="B37" s="557"/>
      <c r="C37" s="557"/>
      <c r="D37" s="35"/>
      <c r="E37" s="35"/>
      <c r="F37" s="35"/>
      <c r="G37" s="35"/>
      <c r="H37" s="35"/>
      <c r="I37" s="36"/>
    </row>
    <row r="38" spans="1:9" ht="12" customHeight="1" x14ac:dyDescent="0.2">
      <c r="A38" s="99">
        <v>1</v>
      </c>
      <c r="B38" s="558" t="s">
        <v>278</v>
      </c>
      <c r="C38" s="558"/>
      <c r="D38" s="558"/>
      <c r="E38" s="558"/>
      <c r="F38" s="558"/>
      <c r="G38" s="558"/>
      <c r="H38" s="558"/>
      <c r="I38" s="559"/>
    </row>
    <row r="39" spans="1:9" ht="12" customHeight="1" x14ac:dyDescent="0.2">
      <c r="A39" s="99">
        <v>2</v>
      </c>
      <c r="B39" s="560" t="s">
        <v>276</v>
      </c>
      <c r="C39" s="560"/>
      <c r="D39" s="560"/>
      <c r="E39" s="560"/>
      <c r="F39" s="560"/>
      <c r="G39" s="560"/>
      <c r="H39" s="560"/>
      <c r="I39" s="561"/>
    </row>
    <row r="40" spans="1:9" ht="10.5" customHeight="1" x14ac:dyDescent="0.2">
      <c r="A40" s="99">
        <v>3</v>
      </c>
      <c r="B40" s="562" t="s">
        <v>277</v>
      </c>
      <c r="C40" s="562"/>
      <c r="D40" s="562"/>
      <c r="E40" s="562"/>
      <c r="F40" s="562"/>
      <c r="G40" s="562"/>
      <c r="H40" s="562"/>
      <c r="I40" s="563"/>
    </row>
    <row r="41" spans="1:9" ht="13.5" customHeight="1" thickBot="1" x14ac:dyDescent="0.25">
      <c r="A41" s="100">
        <v>4</v>
      </c>
      <c r="B41" s="551" t="s">
        <v>397</v>
      </c>
      <c r="C41" s="551"/>
      <c r="D41" s="551"/>
      <c r="E41" s="551"/>
      <c r="F41" s="551"/>
      <c r="G41" s="551"/>
      <c r="H41" s="551"/>
      <c r="I41" s="552"/>
    </row>
    <row r="42" spans="1:9" ht="15" thickBot="1" x14ac:dyDescent="0.25"/>
    <row r="43" spans="1:9" ht="17.25" customHeight="1" thickBot="1" x14ac:dyDescent="0.25">
      <c r="A43" s="553" t="s">
        <v>279</v>
      </c>
      <c r="B43" s="554"/>
      <c r="C43" s="554"/>
      <c r="D43" s="554"/>
      <c r="E43" s="554"/>
      <c r="F43" s="554"/>
      <c r="G43" s="554"/>
      <c r="H43" s="554"/>
      <c r="I43" s="555"/>
    </row>
    <row r="44" spans="1:9" ht="26.25" customHeight="1" thickBot="1" x14ac:dyDescent="0.25">
      <c r="A44" s="210" t="s">
        <v>284</v>
      </c>
      <c r="B44" s="222"/>
      <c r="C44" s="222"/>
      <c r="D44" s="222"/>
      <c r="E44" s="211"/>
      <c r="F44" s="101" t="s">
        <v>95</v>
      </c>
      <c r="G44" s="102"/>
      <c r="H44" s="101" t="s">
        <v>96</v>
      </c>
      <c r="I44" s="103"/>
    </row>
    <row r="45" spans="1:9" ht="15" thickBot="1" x14ac:dyDescent="0.25">
      <c r="A45" s="572" t="s">
        <v>280</v>
      </c>
      <c r="B45" s="499"/>
      <c r="C45" s="499"/>
      <c r="D45" s="499"/>
      <c r="E45" s="499"/>
      <c r="F45" s="499"/>
      <c r="G45" s="499"/>
      <c r="H45" s="499"/>
      <c r="I45" s="573"/>
    </row>
    <row r="46" spans="1:9" ht="21.75" customHeight="1" thickBot="1" x14ac:dyDescent="0.25">
      <c r="A46" s="572" t="s">
        <v>283</v>
      </c>
      <c r="B46" s="499"/>
      <c r="C46" s="573"/>
      <c r="D46" s="572" t="s">
        <v>282</v>
      </c>
      <c r="E46" s="499"/>
      <c r="F46" s="573"/>
      <c r="G46" s="572" t="s">
        <v>281</v>
      </c>
      <c r="H46" s="499"/>
      <c r="I46" s="573"/>
    </row>
    <row r="47" spans="1:9" ht="15" thickBot="1" x14ac:dyDescent="0.25"/>
    <row r="48" spans="1:9" ht="15" customHeight="1" thickBot="1" x14ac:dyDescent="0.25">
      <c r="A48" s="570" t="s">
        <v>287</v>
      </c>
      <c r="B48" s="571"/>
      <c r="C48" s="567" t="s">
        <v>286</v>
      </c>
      <c r="D48" s="568"/>
      <c r="E48" s="568"/>
      <c r="F48" s="569"/>
      <c r="G48" s="564" t="s">
        <v>285</v>
      </c>
      <c r="H48" s="565"/>
      <c r="I48" s="566"/>
    </row>
    <row r="49" spans="1:9" ht="15" thickBot="1" x14ac:dyDescent="0.25">
      <c r="A49" s="178"/>
      <c r="B49" s="179"/>
      <c r="C49" s="179"/>
      <c r="D49" s="179"/>
      <c r="E49" s="179"/>
      <c r="F49" s="180"/>
      <c r="G49" s="567" t="s">
        <v>288</v>
      </c>
      <c r="H49" s="568"/>
      <c r="I49" s="569"/>
    </row>
  </sheetData>
  <mergeCells count="112">
    <mergeCell ref="G48:I48"/>
    <mergeCell ref="G49:I49"/>
    <mergeCell ref="C48:F48"/>
    <mergeCell ref="A48:B48"/>
    <mergeCell ref="A49:F49"/>
    <mergeCell ref="A45:I45"/>
    <mergeCell ref="G46:I46"/>
    <mergeCell ref="A46:C46"/>
    <mergeCell ref="D46:F46"/>
    <mergeCell ref="A44:B44"/>
    <mergeCell ref="C44:E44"/>
    <mergeCell ref="A37:C37"/>
    <mergeCell ref="B38:I38"/>
    <mergeCell ref="B39:I39"/>
    <mergeCell ref="B40:I40"/>
    <mergeCell ref="C33:D33"/>
    <mergeCell ref="E32:G33"/>
    <mergeCell ref="C36:D36"/>
    <mergeCell ref="E34:G35"/>
    <mergeCell ref="C34:D35"/>
    <mergeCell ref="I34:I35"/>
    <mergeCell ref="A34:A35"/>
    <mergeCell ref="H30:H31"/>
    <mergeCell ref="C29:D31"/>
    <mergeCell ref="C18:D18"/>
    <mergeCell ref="C19:D19"/>
    <mergeCell ref="C20:D20"/>
    <mergeCell ref="C21:D21"/>
    <mergeCell ref="C22:D23"/>
    <mergeCell ref="B41:I41"/>
    <mergeCell ref="A43:I43"/>
    <mergeCell ref="E36:G36"/>
    <mergeCell ref="E29:G31"/>
    <mergeCell ref="I18:I19"/>
    <mergeCell ref="B18:B19"/>
    <mergeCell ref="A18:A19"/>
    <mergeCell ref="E9:G9"/>
    <mergeCell ref="C9:D9"/>
    <mergeCell ref="C12:D12"/>
    <mergeCell ref="C13:D13"/>
    <mergeCell ref="E24:G24"/>
    <mergeCell ref="E25:G25"/>
    <mergeCell ref="E26:G26"/>
    <mergeCell ref="E27:G27"/>
    <mergeCell ref="E28:G28"/>
    <mergeCell ref="E18:G18"/>
    <mergeCell ref="E19:G19"/>
    <mergeCell ref="E20:G20"/>
    <mergeCell ref="E21:G21"/>
    <mergeCell ref="E22:G22"/>
    <mergeCell ref="E23:G23"/>
    <mergeCell ref="E10:G10"/>
    <mergeCell ref="E11:G11"/>
    <mergeCell ref="E12:G12"/>
    <mergeCell ref="E13:G13"/>
    <mergeCell ref="C24:D27"/>
    <mergeCell ref="C28:D28"/>
    <mergeCell ref="E16:G16"/>
    <mergeCell ref="E17:G17"/>
    <mergeCell ref="G6:I6"/>
    <mergeCell ref="D6:F6"/>
    <mergeCell ref="A6:C6"/>
    <mergeCell ref="G7:I7"/>
    <mergeCell ref="D7:F7"/>
    <mergeCell ref="A7:C7"/>
    <mergeCell ref="G4:I4"/>
    <mergeCell ref="D4:F4"/>
    <mergeCell ref="A4:C4"/>
    <mergeCell ref="A5:C5"/>
    <mergeCell ref="D5:F5"/>
    <mergeCell ref="G5:I5"/>
    <mergeCell ref="D2:F2"/>
    <mergeCell ref="G2:I2"/>
    <mergeCell ref="D3:F3"/>
    <mergeCell ref="A2:C3"/>
    <mergeCell ref="G3:I3"/>
    <mergeCell ref="I32:I33"/>
    <mergeCell ref="H32:H33"/>
    <mergeCell ref="B32:B33"/>
    <mergeCell ref="A32:A33"/>
    <mergeCell ref="C32:D32"/>
    <mergeCell ref="I24:I27"/>
    <mergeCell ref="H24:H27"/>
    <mergeCell ref="B24:B27"/>
    <mergeCell ref="A24:A27"/>
    <mergeCell ref="I29:I31"/>
    <mergeCell ref="B29:B31"/>
    <mergeCell ref="A29:A31"/>
    <mergeCell ref="I20:I21"/>
    <mergeCell ref="B20:B21"/>
    <mergeCell ref="A20:A21"/>
    <mergeCell ref="I22:I23"/>
    <mergeCell ref="H22:H23"/>
    <mergeCell ref="B22:B23"/>
    <mergeCell ref="A22:A23"/>
    <mergeCell ref="H10:H11"/>
    <mergeCell ref="B10:B11"/>
    <mergeCell ref="A10:A11"/>
    <mergeCell ref="I12:I13"/>
    <mergeCell ref="H12:H13"/>
    <mergeCell ref="B12:B13"/>
    <mergeCell ref="A12:A13"/>
    <mergeCell ref="E14:G14"/>
    <mergeCell ref="E15:G15"/>
    <mergeCell ref="I15:I17"/>
    <mergeCell ref="H15:H17"/>
    <mergeCell ref="B15:B17"/>
    <mergeCell ref="A15:A17"/>
    <mergeCell ref="C14:D14"/>
    <mergeCell ref="I10:I11"/>
    <mergeCell ref="C10:D11"/>
    <mergeCell ref="C15:D17"/>
  </mergeCells>
  <pageMargins left="0.70866141732283472" right="0.70866141732283472" top="0.74803149606299213" bottom="0.74803149606299213" header="0.31496062992125984" footer="0.31496062992125984"/>
  <pageSetup paperSize="9" scale="85" orientation="portrait" r:id="rId1"/>
  <headerFooter>
    <oddHeader>&amp;L&amp;G&amp;Rעמוד 1 מתוך 2</oddHeader>
    <oddFooter>&amp;Cקניין רפאל – מערכות לחימה מתקדמות בע"מ</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7" r:id="rId5" name="Check Box 1">
              <controlPr defaultSize="0" autoFill="0" autoLine="0" autoPict="0" altText="">
                <anchor moveWithCells="1">
                  <from>
                    <xdr:col>6</xdr:col>
                    <xdr:colOff>676275</xdr:colOff>
                    <xdr:row>39</xdr:row>
                    <xdr:rowOff>104775</xdr:rowOff>
                  </from>
                  <to>
                    <xdr:col>6</xdr:col>
                    <xdr:colOff>952500</xdr:colOff>
                    <xdr:row>41</xdr:row>
                    <xdr:rowOff>28575</xdr:rowOff>
                  </to>
                </anchor>
              </controlPr>
            </control>
          </mc:Choice>
        </mc:AlternateContent>
        <mc:AlternateContent xmlns:mc="http://schemas.openxmlformats.org/markup-compatibility/2006">
          <mc:Choice Requires="x14">
            <control shapeId="14338" r:id="rId6" name="Check Box 2">
              <controlPr defaultSize="0" autoFill="0" autoLine="0" autoPict="0" altText="">
                <anchor moveWithCells="1">
                  <from>
                    <xdr:col>7</xdr:col>
                    <xdr:colOff>619125</xdr:colOff>
                    <xdr:row>39</xdr:row>
                    <xdr:rowOff>85725</xdr:rowOff>
                  </from>
                  <to>
                    <xdr:col>8</xdr:col>
                    <xdr:colOff>142875</xdr:colOff>
                    <xdr:row>41</xdr:row>
                    <xdr:rowOff>19050</xdr:rowOff>
                  </to>
                </anchor>
              </controlPr>
            </control>
          </mc:Choice>
        </mc:AlternateContent>
        <mc:AlternateContent xmlns:mc="http://schemas.openxmlformats.org/markup-compatibility/2006">
          <mc:Choice Requires="x14">
            <control shapeId="14339" r:id="rId7" name="Check Box 3">
              <controlPr defaultSize="0" autoFill="0" autoLine="0" autoPict="0" altText="">
                <anchor moveWithCells="1">
                  <from>
                    <xdr:col>4</xdr:col>
                    <xdr:colOff>361950</xdr:colOff>
                    <xdr:row>39</xdr:row>
                    <xdr:rowOff>104775</xdr:rowOff>
                  </from>
                  <to>
                    <xdr:col>4</xdr:col>
                    <xdr:colOff>600075</xdr:colOff>
                    <xdr:row>41</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1D95-E355-43D1-A717-2DA8EEB41A4E}">
  <sheetPr codeName="גיליון4"/>
  <dimension ref="B1:AB81"/>
  <sheetViews>
    <sheetView rightToLeft="1" workbookViewId="0">
      <selection activeCell="B15" sqref="B15"/>
    </sheetView>
  </sheetViews>
  <sheetFormatPr defaultRowHeight="14.25" x14ac:dyDescent="0.2"/>
  <cols>
    <col min="2" max="2" width="34.375" customWidth="1"/>
    <col min="6" max="6" width="9.875" customWidth="1"/>
    <col min="7" max="7" width="17.375" customWidth="1"/>
  </cols>
  <sheetData>
    <row r="1" spans="2:28" ht="15" thickBot="1" x14ac:dyDescent="0.25"/>
    <row r="2" spans="2:28" ht="15" x14ac:dyDescent="0.25">
      <c r="B2" s="20" t="s">
        <v>94</v>
      </c>
      <c r="C2" s="20"/>
      <c r="D2" s="20"/>
      <c r="E2" s="20"/>
      <c r="G2" s="574" t="s">
        <v>186</v>
      </c>
      <c r="H2" s="575"/>
      <c r="I2" s="575"/>
      <c r="J2" s="575"/>
      <c r="K2" s="575"/>
      <c r="L2" s="575"/>
      <c r="M2" s="575"/>
      <c r="N2" s="575"/>
      <c r="O2" s="34" cm="1">
        <f t="array" ref="O2:P2">'דוח ביקורת'!B23:C23</f>
        <v>0</v>
      </c>
      <c r="P2" s="35">
        <v>0</v>
      </c>
      <c r="Q2" s="35" cm="1">
        <f t="array" ref="Q2:R2">'דוח ביקורת'!F23:G23</f>
        <v>0</v>
      </c>
      <c r="R2" s="35">
        <v>0</v>
      </c>
      <c r="S2" s="35" cm="1">
        <f t="array" ref="S2:T2">'דוח ביקורת'!H23:I23</f>
        <v>0</v>
      </c>
      <c r="T2" s="36">
        <v>0</v>
      </c>
    </row>
    <row r="3" spans="2:28" x14ac:dyDescent="0.2">
      <c r="B3" s="212"/>
      <c r="C3" s="212"/>
      <c r="D3" s="212"/>
      <c r="E3" s="212"/>
      <c r="G3" s="576"/>
      <c r="H3" s="577"/>
      <c r="I3" s="577"/>
      <c r="J3" s="577"/>
      <c r="K3" s="577"/>
      <c r="L3" s="577"/>
      <c r="M3" s="577"/>
      <c r="N3" s="577"/>
      <c r="O3" s="37" cm="1">
        <f t="array" ref="O3:P3">'דוח ביקורת'!B24:C24</f>
        <v>0</v>
      </c>
      <c r="P3">
        <v>0</v>
      </c>
      <c r="Q3" cm="1">
        <f t="array" ref="Q3:R3">'דוח ביקורת'!F24:G24</f>
        <v>0</v>
      </c>
      <c r="R3">
        <v>0</v>
      </c>
      <c r="S3" cm="1">
        <f t="array" ref="S3:T3">'דוח ביקורת'!H24:I24</f>
        <v>0</v>
      </c>
      <c r="T3" s="38">
        <v>0</v>
      </c>
      <c r="Y3" s="212"/>
      <c r="Z3" s="212"/>
      <c r="AA3" s="212"/>
      <c r="AB3" s="212"/>
    </row>
    <row r="4" spans="2:28" x14ac:dyDescent="0.2">
      <c r="B4" t="s">
        <v>98</v>
      </c>
      <c r="G4" s="37" cm="1">
        <f t="array" ref="G4:J4">'דוח ביקורת'!B11:E11</f>
        <v>0</v>
      </c>
      <c r="H4">
        <v>0</v>
      </c>
      <c r="I4">
        <v>0</v>
      </c>
      <c r="J4">
        <v>0</v>
      </c>
      <c r="O4" s="37" cm="1">
        <f t="array" ref="O4:P4">'דוח ביקורת'!B25:C25</f>
        <v>0</v>
      </c>
      <c r="P4">
        <v>0</v>
      </c>
      <c r="Q4" cm="1">
        <f t="array" ref="Q4:R4">'דוח ביקורת'!F25:G25</f>
        <v>0</v>
      </c>
      <c r="R4">
        <v>0</v>
      </c>
      <c r="S4" cm="1">
        <f t="array" ref="S4:T4">'דוח ביקורת'!H25:I25</f>
        <v>0</v>
      </c>
      <c r="T4" s="38">
        <v>0</v>
      </c>
    </row>
    <row r="5" spans="2:28" x14ac:dyDescent="0.2">
      <c r="B5" t="s">
        <v>101</v>
      </c>
      <c r="G5" s="37"/>
      <c r="O5" s="37" cm="1">
        <f t="array" ref="O5:P5">'דוח ביקורת'!B26:C26</f>
        <v>0</v>
      </c>
      <c r="P5">
        <v>0</v>
      </c>
      <c r="Q5" cm="1">
        <f t="array" ref="Q5:R5">'דוח ביקורת'!F26:G26</f>
        <v>0</v>
      </c>
      <c r="R5">
        <v>0</v>
      </c>
      <c r="S5" cm="1">
        <f t="array" ref="S5:T5">'דוח ביקורת'!H26:I26</f>
        <v>0</v>
      </c>
      <c r="T5" s="38">
        <v>0</v>
      </c>
    </row>
    <row r="6" spans="2:28" x14ac:dyDescent="0.2">
      <c r="B6" t="s">
        <v>102</v>
      </c>
      <c r="G6" s="37" cm="1">
        <f t="array" ref="G6:N6">'דוח ביקורת'!C9:J9</f>
        <v>0</v>
      </c>
      <c r="H6">
        <v>0</v>
      </c>
      <c r="I6">
        <v>0</v>
      </c>
      <c r="J6">
        <v>0</v>
      </c>
      <c r="K6">
        <v>0</v>
      </c>
      <c r="L6">
        <v>0</v>
      </c>
      <c r="M6">
        <v>0</v>
      </c>
      <c r="N6">
        <v>0</v>
      </c>
      <c r="O6" s="37" cm="1">
        <f t="array" ref="O6:P6">'דוח ביקורת'!B27:C27</f>
        <v>0</v>
      </c>
      <c r="P6">
        <v>0</v>
      </c>
      <c r="Q6" cm="1">
        <f t="array" ref="Q6:R6">'דוח ביקורת'!F27:G27</f>
        <v>0</v>
      </c>
      <c r="R6">
        <v>0</v>
      </c>
      <c r="S6" cm="1">
        <f t="array" ref="S6:T6">'דוח ביקורת'!H27:I27</f>
        <v>0</v>
      </c>
      <c r="T6" s="38">
        <v>0</v>
      </c>
    </row>
    <row r="7" spans="2:28" x14ac:dyDescent="0.2">
      <c r="B7" t="s">
        <v>323</v>
      </c>
      <c r="G7" s="37"/>
      <c r="O7" s="37" cm="1">
        <f t="array" ref="O7:P7">'דוח ביקורת'!B28:C28</f>
        <v>0</v>
      </c>
      <c r="P7">
        <v>0</v>
      </c>
      <c r="Q7" cm="1">
        <f t="array" ref="Q7:R7">'דוח ביקורת'!F28:G28</f>
        <v>0</v>
      </c>
      <c r="R7">
        <v>0</v>
      </c>
      <c r="S7" cm="1">
        <f t="array" ref="S7:T7">'דוח ביקורת'!H28:I28</f>
        <v>0</v>
      </c>
      <c r="T7" s="38">
        <v>0</v>
      </c>
    </row>
    <row r="8" spans="2:28" x14ac:dyDescent="0.2">
      <c r="B8" t="s">
        <v>376</v>
      </c>
      <c r="G8" s="37" cm="1">
        <f t="array" ref="G8:I8">'דוח ביקורת'!F1:H1</f>
        <v>0</v>
      </c>
      <c r="H8">
        <v>0</v>
      </c>
      <c r="I8">
        <v>0</v>
      </c>
      <c r="O8" s="37" cm="1">
        <f t="array" ref="O8:P8">'דוח ביקורת'!B29:C29</f>
        <v>0</v>
      </c>
      <c r="P8">
        <v>0</v>
      </c>
      <c r="Q8" cm="1">
        <f t="array" ref="Q8:R8">'דוח ביקורת'!F29:G29</f>
        <v>0</v>
      </c>
      <c r="R8">
        <v>0</v>
      </c>
      <c r="S8" cm="1">
        <f t="array" ref="S8:T8">'דוח ביקורת'!H29:I29</f>
        <v>0</v>
      </c>
      <c r="T8" s="38">
        <v>0</v>
      </c>
    </row>
    <row r="9" spans="2:28" x14ac:dyDescent="0.2">
      <c r="B9" t="s">
        <v>103</v>
      </c>
      <c r="G9" s="37"/>
      <c r="O9" s="37" cm="1">
        <f t="array" ref="O9:P9">'דוח ביקורת'!B30:C30</f>
        <v>0</v>
      </c>
      <c r="P9">
        <v>0</v>
      </c>
      <c r="Q9" cm="1">
        <f t="array" ref="Q9:R9">'דוח ביקורת'!F30:G30</f>
        <v>0</v>
      </c>
      <c r="R9">
        <v>0</v>
      </c>
      <c r="S9" cm="1">
        <f t="array" ref="S9:T9">'דוח ביקורת'!H30:I30</f>
        <v>0</v>
      </c>
      <c r="T9" s="38">
        <v>0</v>
      </c>
    </row>
    <row r="10" spans="2:28" x14ac:dyDescent="0.2">
      <c r="B10" t="s">
        <v>396</v>
      </c>
      <c r="G10" s="37">
        <f>'דוח ביקורת'!C7</f>
        <v>0</v>
      </c>
      <c r="O10" s="37" cm="1">
        <f t="array" ref="O10:P10">'דוח ביקורת'!B31:C31</f>
        <v>0</v>
      </c>
      <c r="P10">
        <v>0</v>
      </c>
      <c r="Q10" cm="1">
        <f t="array" ref="Q10:R10">'דוח ביקורת'!F31:G31</f>
        <v>0</v>
      </c>
      <c r="R10">
        <v>0</v>
      </c>
      <c r="S10" cm="1">
        <f t="array" ref="S10:T10">'דוח ביקורת'!H31:I31</f>
        <v>0</v>
      </c>
      <c r="T10" s="38">
        <v>0</v>
      </c>
    </row>
    <row r="11" spans="2:28" x14ac:dyDescent="0.2">
      <c r="B11" t="s">
        <v>418</v>
      </c>
      <c r="G11" s="37"/>
      <c r="O11" s="37" cm="1">
        <f t="array" ref="O11:P11">'דוח ביקורת'!B32:C32</f>
        <v>0</v>
      </c>
      <c r="P11">
        <v>0</v>
      </c>
      <c r="Q11" cm="1">
        <f t="array" ref="Q11:R11">'דוח ביקורת'!F32:G32</f>
        <v>0</v>
      </c>
      <c r="R11">
        <v>0</v>
      </c>
      <c r="S11" cm="1">
        <f t="array" ref="S11:T11">'דוח ביקורת'!H32:I32</f>
        <v>0</v>
      </c>
      <c r="T11" s="38">
        <v>0</v>
      </c>
    </row>
    <row r="12" spans="2:28" x14ac:dyDescent="0.2">
      <c r="G12" s="37" cm="1">
        <f t="array" ref="G12:I12">'דוח ביקורת'!C13:E13</f>
        <v>0</v>
      </c>
      <c r="H12">
        <v>0</v>
      </c>
      <c r="I12">
        <v>0</v>
      </c>
      <c r="O12" s="37" cm="1">
        <f t="array" ref="O12:P12">'דוח ביקורת'!B33:C33</f>
        <v>0</v>
      </c>
      <c r="P12">
        <v>0</v>
      </c>
      <c r="Q12" cm="1">
        <f t="array" ref="Q12:R12">'דוח ביקורת'!F33:G33</f>
        <v>0</v>
      </c>
      <c r="R12">
        <v>0</v>
      </c>
      <c r="S12" cm="1">
        <f t="array" ref="S12:T12">'דוח ביקורת'!H33:I33</f>
        <v>0</v>
      </c>
      <c r="T12" s="38">
        <v>0</v>
      </c>
    </row>
    <row r="13" spans="2:28" x14ac:dyDescent="0.2">
      <c r="G13" s="37"/>
      <c r="O13" s="37" cm="1">
        <f t="array" ref="O13:P13">'דוח ביקורת'!B34:C34</f>
        <v>0</v>
      </c>
      <c r="P13">
        <v>0</v>
      </c>
      <c r="Q13" cm="1">
        <f t="array" ref="Q13:R13">'דוח ביקורת'!F34:G34</f>
        <v>0</v>
      </c>
      <c r="R13">
        <v>0</v>
      </c>
      <c r="S13" cm="1">
        <f t="array" ref="S13:T13">'דוח ביקורת'!H34:I34</f>
        <v>0</v>
      </c>
      <c r="T13" s="38">
        <v>0</v>
      </c>
    </row>
    <row r="14" spans="2:28" x14ac:dyDescent="0.2">
      <c r="G14" s="37">
        <f>'דוח ביקורת'!J13</f>
        <v>0</v>
      </c>
      <c r="O14" s="37" cm="1">
        <f t="array" ref="O14:P14">'דוח ביקורת'!B35:C35</f>
        <v>0</v>
      </c>
      <c r="P14">
        <v>0</v>
      </c>
      <c r="Q14" cm="1">
        <f t="array" ref="Q14:R14">'דוח ביקורת'!F35:G35</f>
        <v>0</v>
      </c>
      <c r="R14">
        <v>0</v>
      </c>
      <c r="S14" cm="1">
        <f t="array" ref="S14:T14">'דוח ביקורת'!H35:I35</f>
        <v>0</v>
      </c>
      <c r="T14" s="38">
        <v>0</v>
      </c>
    </row>
    <row r="15" spans="2:28" x14ac:dyDescent="0.2">
      <c r="G15" s="37"/>
      <c r="O15" s="37" cm="1">
        <f t="array" ref="O15:P15">'דוח ביקורת'!B36:C36</f>
        <v>0</v>
      </c>
      <c r="P15">
        <v>0</v>
      </c>
      <c r="Q15" cm="1">
        <f t="array" ref="Q15:R15">'דוח ביקורת'!F36:G36</f>
        <v>0</v>
      </c>
      <c r="R15">
        <v>0</v>
      </c>
      <c r="S15" cm="1">
        <f t="array" ref="S15:T15">'דוח ביקורת'!H36:I36</f>
        <v>0</v>
      </c>
      <c r="T15" s="38">
        <v>0</v>
      </c>
    </row>
    <row r="16" spans="2:28" x14ac:dyDescent="0.2">
      <c r="G16" s="37" cm="1">
        <f t="array" ref="G16:M16">'דוח ביקורת'!D5:J5</f>
        <v>0</v>
      </c>
      <c r="H16">
        <v>0</v>
      </c>
      <c r="I16">
        <v>0</v>
      </c>
      <c r="J16">
        <v>0</v>
      </c>
      <c r="K16">
        <v>0</v>
      </c>
      <c r="L16">
        <v>0</v>
      </c>
      <c r="M16">
        <v>0</v>
      </c>
      <c r="O16" s="37" cm="1">
        <f t="array" ref="O16:P16">'דוח ביקורת'!B37:C37</f>
        <v>0</v>
      </c>
      <c r="P16">
        <v>0</v>
      </c>
      <c r="Q16" cm="1">
        <f t="array" ref="Q16:R16">'דוח ביקורת'!F37:G37</f>
        <v>0</v>
      </c>
      <c r="R16">
        <v>0</v>
      </c>
      <c r="S16" cm="1">
        <f t="array" ref="S16:T16">'דוח ביקורת'!H37:I37</f>
        <v>0</v>
      </c>
      <c r="T16" s="38">
        <v>0</v>
      </c>
    </row>
    <row r="17" spans="2:20" x14ac:dyDescent="0.2">
      <c r="G17" s="37" cm="1">
        <f t="array" ref="G17:L17">'דוח ביקורת'!E109:J109</f>
        <v>0</v>
      </c>
      <c r="H17">
        <v>0</v>
      </c>
      <c r="I17">
        <v>0</v>
      </c>
      <c r="J17">
        <v>0</v>
      </c>
      <c r="K17">
        <v>0</v>
      </c>
      <c r="L17">
        <v>0</v>
      </c>
      <c r="O17" s="37" cm="1">
        <f t="array" ref="O17:P17">'דוח ביקורת'!B38:C38</f>
        <v>0</v>
      </c>
      <c r="P17">
        <v>0</v>
      </c>
      <c r="Q17" cm="1">
        <f t="array" ref="Q17:R17">'דוח ביקורת'!F38:G38</f>
        <v>0</v>
      </c>
      <c r="R17">
        <v>0</v>
      </c>
      <c r="S17" cm="1">
        <f t="array" ref="S17:T17">'דוח ביקורת'!H38:I38</f>
        <v>0</v>
      </c>
      <c r="T17" s="38">
        <v>0</v>
      </c>
    </row>
    <row r="18" spans="2:20" ht="15" thickBot="1" x14ac:dyDescent="0.25">
      <c r="G18" s="39" cm="1">
        <f t="array" ref="G18:M18">'דוח ביקורת'!D3:J3</f>
        <v>0</v>
      </c>
      <c r="H18" s="23">
        <v>0</v>
      </c>
      <c r="I18" s="23">
        <v>0</v>
      </c>
      <c r="J18" s="23">
        <v>0</v>
      </c>
      <c r="K18" s="23">
        <v>0</v>
      </c>
      <c r="L18" s="23">
        <v>0</v>
      </c>
      <c r="M18" s="23">
        <v>0</v>
      </c>
      <c r="N18" s="23"/>
      <c r="O18" s="37" cm="1">
        <f t="array" ref="O18:P18">'דוח ביקורת'!B39:C39</f>
        <v>0</v>
      </c>
      <c r="P18">
        <v>0</v>
      </c>
      <c r="Q18" cm="1">
        <f t="array" ref="Q18:R18">'דוח ביקורת'!F39:G39</f>
        <v>0</v>
      </c>
      <c r="R18">
        <v>0</v>
      </c>
      <c r="S18" cm="1">
        <f t="array" ref="S18:T18">'דוח ביקורת'!H39:I39</f>
        <v>0</v>
      </c>
      <c r="T18" s="38">
        <v>0</v>
      </c>
    </row>
    <row r="19" spans="2:20" x14ac:dyDescent="0.2">
      <c r="G19" s="34" cm="1">
        <f t="array" ref="G19:M19">'דוח ביקורת'!D5:J5</f>
        <v>0</v>
      </c>
      <c r="H19" s="35">
        <v>0</v>
      </c>
      <c r="I19" s="35">
        <v>0</v>
      </c>
      <c r="J19" s="35">
        <v>0</v>
      </c>
      <c r="K19" s="35">
        <v>0</v>
      </c>
      <c r="L19" s="35">
        <v>0</v>
      </c>
      <c r="M19" s="35">
        <v>0</v>
      </c>
      <c r="N19" s="35"/>
      <c r="O19" s="37" cm="1">
        <f t="array" ref="O19:P19">'דוח ביקורת'!B40:C40</f>
        <v>0</v>
      </c>
      <c r="P19">
        <v>0</v>
      </c>
      <c r="Q19" cm="1">
        <f t="array" ref="Q19:R19">'דוח ביקורת'!F40:G40</f>
        <v>0</v>
      </c>
      <c r="R19">
        <v>0</v>
      </c>
      <c r="S19" cm="1">
        <f t="array" ref="S19:T19">'דוח ביקורת'!H40:I40</f>
        <v>0</v>
      </c>
      <c r="T19" s="38">
        <v>0</v>
      </c>
    </row>
    <row r="20" spans="2:20" x14ac:dyDescent="0.2">
      <c r="B20" s="212"/>
      <c r="C20" s="212"/>
      <c r="D20" s="212"/>
      <c r="E20" s="212"/>
      <c r="G20" s="37">
        <f>'דוח ביקורת'!C7</f>
        <v>0</v>
      </c>
      <c r="I20" s="150" cm="1">
        <f t="array" ref="I20">'דוח ביקורת'!J15:J15</f>
        <v>0</v>
      </c>
      <c r="O20" s="37" cm="1">
        <f t="array" ref="O20:P20">'דוח ביקורת'!B41:C41</f>
        <v>0</v>
      </c>
      <c r="P20">
        <v>0</v>
      </c>
      <c r="Q20" cm="1">
        <f t="array" ref="Q20:R20">'דוח ביקורת'!F41:G41</f>
        <v>0</v>
      </c>
      <c r="R20">
        <v>0</v>
      </c>
      <c r="S20" cm="1">
        <f t="array" ref="S20:T20">'דוח ביקורת'!H41:I41</f>
        <v>0</v>
      </c>
      <c r="T20" s="38">
        <v>0</v>
      </c>
    </row>
    <row r="21" spans="2:20" x14ac:dyDescent="0.2">
      <c r="G21" s="37" cm="1">
        <f t="array" ref="G21:H21">'דוח ביקורת'!H7:I7</f>
        <v>0</v>
      </c>
      <c r="H21">
        <v>0</v>
      </c>
      <c r="O21" s="37" cm="1">
        <f t="array" ref="O21:P21">'דוח ביקורת'!B42:C42</f>
        <v>0</v>
      </c>
      <c r="P21">
        <v>0</v>
      </c>
      <c r="Q21" cm="1">
        <f t="array" ref="Q21:R21">'דוח ביקורת'!F42:G42</f>
        <v>0</v>
      </c>
      <c r="R21">
        <v>0</v>
      </c>
      <c r="S21" cm="1">
        <f t="array" ref="S21:T21">'דוח ביקורת'!H42:I42</f>
        <v>0</v>
      </c>
      <c r="T21" s="38">
        <v>0</v>
      </c>
    </row>
    <row r="22" spans="2:20" x14ac:dyDescent="0.2">
      <c r="G22" s="37" cm="1">
        <f t="array" ref="G22:H22">'דוח ביקורת'!C17:D17</f>
        <v>0</v>
      </c>
      <c r="H22">
        <v>0</v>
      </c>
      <c r="O22" s="37" cm="1">
        <f t="array" ref="O22:P22">'דוח ביקורת'!B43:C43</f>
        <v>0</v>
      </c>
      <c r="P22">
        <v>0</v>
      </c>
      <c r="Q22" cm="1">
        <f t="array" ref="Q22:R22">'דוח ביקורת'!F43:G43</f>
        <v>0</v>
      </c>
      <c r="R22">
        <v>0</v>
      </c>
      <c r="S22" cm="1">
        <f t="array" ref="S22:T22">'דוח ביקורת'!H43:I43</f>
        <v>0</v>
      </c>
      <c r="T22" s="38">
        <v>0</v>
      </c>
    </row>
    <row r="23" spans="2:20" x14ac:dyDescent="0.2">
      <c r="G23" s="37" cm="1">
        <f t="array" ref="G23:H23">'דוח ביקורת'!I17:J17</f>
        <v>0</v>
      </c>
      <c r="H23">
        <v>0</v>
      </c>
      <c r="O23" s="37" cm="1">
        <f t="array" ref="O23:P23">'דוח ביקורת'!B44:C44</f>
        <v>0</v>
      </c>
      <c r="P23">
        <v>0</v>
      </c>
      <c r="Q23" cm="1">
        <f t="array" ref="Q23:R23">'דוח ביקורת'!F44:G44</f>
        <v>0</v>
      </c>
      <c r="R23">
        <v>0</v>
      </c>
      <c r="S23" cm="1">
        <f t="array" ref="S23:T23">'דוח ביקורת'!H44:I44</f>
        <v>0</v>
      </c>
      <c r="T23" s="38">
        <v>0</v>
      </c>
    </row>
    <row r="24" spans="2:20" ht="15" thickBot="1" x14ac:dyDescent="0.25">
      <c r="G24" s="39" cm="1">
        <f t="array" ref="G24:H24">'דוח ביקורת'!I103:J103</f>
        <v>0</v>
      </c>
      <c r="H24" s="23">
        <v>0</v>
      </c>
      <c r="I24" s="23" cm="1">
        <f t="array" ref="I24:N24">'דוח ביקורת'!C105:H105</f>
        <v>0</v>
      </c>
      <c r="J24" s="23">
        <v>0</v>
      </c>
      <c r="K24" s="23">
        <v>0</v>
      </c>
      <c r="L24" s="23">
        <v>0</v>
      </c>
      <c r="M24" s="23">
        <v>0</v>
      </c>
      <c r="N24" s="23">
        <v>0</v>
      </c>
      <c r="O24" s="37" cm="1">
        <f t="array" ref="O24:P24">'דוח ביקורת'!B45:C45</f>
        <v>0</v>
      </c>
      <c r="P24">
        <v>0</v>
      </c>
      <c r="Q24" cm="1">
        <f t="array" ref="Q24:R24">'דוח ביקורת'!F45:G45</f>
        <v>0</v>
      </c>
      <c r="R24">
        <v>0</v>
      </c>
      <c r="S24" cm="1">
        <f t="array" ref="S24:T24">'דוח ביקורת'!H45:I45</f>
        <v>0</v>
      </c>
      <c r="T24" s="38">
        <v>0</v>
      </c>
    </row>
    <row r="25" spans="2:20" x14ac:dyDescent="0.2">
      <c r="O25" s="37" cm="1">
        <f t="array" ref="O25:P25">'דוח ביקורת'!B46:C46</f>
        <v>0</v>
      </c>
      <c r="P25">
        <v>0</v>
      </c>
      <c r="Q25" cm="1">
        <f t="array" ref="Q25:R25">'דוח ביקורת'!F46:G46</f>
        <v>0</v>
      </c>
      <c r="R25">
        <v>0</v>
      </c>
      <c r="S25" cm="1">
        <f t="array" ref="S25:T25">'דוח ביקורת'!H46:I46</f>
        <v>0</v>
      </c>
      <c r="T25" s="38">
        <v>0</v>
      </c>
    </row>
    <row r="26" spans="2:20" x14ac:dyDescent="0.2">
      <c r="O26" s="37" cm="1">
        <f t="array" ref="O26:P26">'דוח ביקורת'!B47:C47</f>
        <v>0</v>
      </c>
      <c r="P26">
        <v>0</v>
      </c>
      <c r="Q26" cm="1">
        <f t="array" ref="Q26:R26">'דוח ביקורת'!F47:G47</f>
        <v>0</v>
      </c>
      <c r="R26">
        <v>0</v>
      </c>
      <c r="S26" cm="1">
        <f t="array" ref="S26:T26">'דוח ביקורת'!H47:I47</f>
        <v>0</v>
      </c>
      <c r="T26" s="38">
        <v>0</v>
      </c>
    </row>
    <row r="27" spans="2:20" x14ac:dyDescent="0.2">
      <c r="O27" s="37" cm="1">
        <f t="array" ref="O27:P27">'דוח ביקורת'!B48:C48</f>
        <v>0</v>
      </c>
      <c r="P27">
        <v>0</v>
      </c>
      <c r="Q27" cm="1">
        <f t="array" ref="Q27:R27">'דוח ביקורת'!F48:G48</f>
        <v>0</v>
      </c>
      <c r="R27">
        <v>0</v>
      </c>
      <c r="S27" cm="1">
        <f t="array" ref="S27:T27">'דוח ביקורת'!H48:I48</f>
        <v>0</v>
      </c>
      <c r="T27" s="38">
        <v>0</v>
      </c>
    </row>
    <row r="28" spans="2:20" x14ac:dyDescent="0.2">
      <c r="O28" s="37" cm="1">
        <f t="array" ref="O28:P28">'דוח ביקורת'!B49:C49</f>
        <v>0</v>
      </c>
      <c r="P28">
        <v>0</v>
      </c>
      <c r="Q28" cm="1">
        <f t="array" ref="Q28:R28">'דוח ביקורת'!F49:G49</f>
        <v>0</v>
      </c>
      <c r="R28">
        <v>0</v>
      </c>
      <c r="S28" cm="1">
        <f t="array" ref="S28:T28">'דוח ביקורת'!H49:I49</f>
        <v>0</v>
      </c>
      <c r="T28" s="38">
        <v>0</v>
      </c>
    </row>
    <row r="29" spans="2:20" x14ac:dyDescent="0.2">
      <c r="O29" s="37" cm="1">
        <f t="array" ref="O29:P29">'דוח ביקורת'!B50:C50</f>
        <v>0</v>
      </c>
      <c r="P29">
        <v>0</v>
      </c>
      <c r="Q29" cm="1">
        <f t="array" ref="Q29:R29">'דוח ביקורת'!F50:G50</f>
        <v>0</v>
      </c>
      <c r="R29">
        <v>0</v>
      </c>
      <c r="S29" cm="1">
        <f t="array" ref="S29:T29">'דוח ביקורת'!H50:I50</f>
        <v>0</v>
      </c>
      <c r="T29" s="38">
        <v>0</v>
      </c>
    </row>
    <row r="30" spans="2:20" x14ac:dyDescent="0.2">
      <c r="O30" s="37" cm="1">
        <f t="array" ref="O30:P30">'דוח ביקורת'!B51:C51</f>
        <v>0</v>
      </c>
      <c r="P30">
        <v>0</v>
      </c>
      <c r="Q30" cm="1">
        <f t="array" ref="Q30:R30">'דוח ביקורת'!F51:G51</f>
        <v>0</v>
      </c>
      <c r="R30">
        <v>0</v>
      </c>
      <c r="S30" cm="1">
        <f t="array" ref="S30:T30">'דוח ביקורת'!H51:I51</f>
        <v>0</v>
      </c>
      <c r="T30" s="38">
        <v>0</v>
      </c>
    </row>
    <row r="31" spans="2:20" x14ac:dyDescent="0.2">
      <c r="O31" s="37" cm="1">
        <f t="array" ref="O31:P31">'דוח ביקורת'!B52:C52</f>
        <v>0</v>
      </c>
      <c r="P31">
        <v>0</v>
      </c>
      <c r="Q31" cm="1">
        <f t="array" ref="Q31:R31">'דוח ביקורת'!F52:G52</f>
        <v>0</v>
      </c>
      <c r="R31">
        <v>0</v>
      </c>
      <c r="S31" cm="1">
        <f t="array" ref="S31:T31">'דוח ביקורת'!H52:I52</f>
        <v>0</v>
      </c>
      <c r="T31" s="38">
        <v>0</v>
      </c>
    </row>
    <row r="32" spans="2:20" x14ac:dyDescent="0.2">
      <c r="O32" s="37" cm="1">
        <f t="array" ref="O32:P32">'דוח ביקורת'!B53:C53</f>
        <v>0</v>
      </c>
      <c r="P32">
        <v>0</v>
      </c>
      <c r="Q32" cm="1">
        <f t="array" ref="Q32:R32">'דוח ביקורת'!F53:G53</f>
        <v>0</v>
      </c>
      <c r="R32">
        <v>0</v>
      </c>
      <c r="S32" cm="1">
        <f t="array" ref="S32:T32">'דוח ביקורת'!H53:I53</f>
        <v>0</v>
      </c>
      <c r="T32" s="38">
        <v>0</v>
      </c>
    </row>
    <row r="33" spans="15:20" x14ac:dyDescent="0.2">
      <c r="O33" s="37" cm="1">
        <f t="array" ref="O33:P33">'דוח ביקורת'!B54:C54</f>
        <v>0</v>
      </c>
      <c r="P33">
        <v>0</v>
      </c>
      <c r="Q33" cm="1">
        <f t="array" ref="Q33:R33">'דוח ביקורת'!F54:G54</f>
        <v>0</v>
      </c>
      <c r="R33">
        <v>0</v>
      </c>
      <c r="S33" cm="1">
        <f t="array" ref="S33:T33">'דוח ביקורת'!H54:I54</f>
        <v>0</v>
      </c>
      <c r="T33" s="38">
        <v>0</v>
      </c>
    </row>
    <row r="34" spans="15:20" x14ac:dyDescent="0.2">
      <c r="O34" s="37" cm="1">
        <f t="array" ref="O34:P34">'דוח ביקורת'!B55:C55</f>
        <v>0</v>
      </c>
      <c r="P34">
        <v>0</v>
      </c>
      <c r="Q34" cm="1">
        <f t="array" ref="Q34:R34">'דוח ביקורת'!F55:G55</f>
        <v>0</v>
      </c>
      <c r="R34">
        <v>0</v>
      </c>
      <c r="S34" cm="1">
        <f t="array" ref="S34:T34">'דוח ביקורת'!H55:I55</f>
        <v>0</v>
      </c>
      <c r="T34" s="38">
        <v>0</v>
      </c>
    </row>
    <row r="35" spans="15:20" x14ac:dyDescent="0.2">
      <c r="O35" s="37" cm="1">
        <f t="array" ref="O35:P35">'דוח ביקורת'!B56:C56</f>
        <v>0</v>
      </c>
      <c r="P35">
        <v>0</v>
      </c>
      <c r="Q35" cm="1">
        <f t="array" ref="Q35:R35">'דוח ביקורת'!F56:G56</f>
        <v>0</v>
      </c>
      <c r="R35">
        <v>0</v>
      </c>
      <c r="S35" cm="1">
        <f t="array" ref="S35:T35">'דוח ביקורת'!H56:I56</f>
        <v>0</v>
      </c>
      <c r="T35" s="38">
        <v>0</v>
      </c>
    </row>
    <row r="36" spans="15:20" x14ac:dyDescent="0.2">
      <c r="O36" s="37" cm="1">
        <f t="array" ref="O36:P36">'דוח ביקורת'!B57:C57</f>
        <v>0</v>
      </c>
      <c r="P36">
        <v>0</v>
      </c>
      <c r="Q36" cm="1">
        <f t="array" ref="Q36:R36">'דוח ביקורת'!F57:G57</f>
        <v>0</v>
      </c>
      <c r="R36">
        <v>0</v>
      </c>
      <c r="S36" cm="1">
        <f t="array" ref="S36:T36">'דוח ביקורת'!H57:I57</f>
        <v>0</v>
      </c>
      <c r="T36" s="38">
        <v>0</v>
      </c>
    </row>
    <row r="37" spans="15:20" x14ac:dyDescent="0.2">
      <c r="O37" s="37" cm="1">
        <f t="array" ref="O37:P37">'דוח ביקורת'!B58:C58</f>
        <v>0</v>
      </c>
      <c r="P37">
        <v>0</v>
      </c>
      <c r="Q37" cm="1">
        <f t="array" ref="Q37:R37">'דוח ביקורת'!F58:G58</f>
        <v>0</v>
      </c>
      <c r="R37">
        <v>0</v>
      </c>
      <c r="S37" cm="1">
        <f t="array" ref="S37:T37">'דוח ביקורת'!H58:I58</f>
        <v>0</v>
      </c>
      <c r="T37" s="38">
        <v>0</v>
      </c>
    </row>
    <row r="38" spans="15:20" x14ac:dyDescent="0.2">
      <c r="O38" s="37" cm="1">
        <f t="array" ref="O38:P38">'דוח ביקורת'!B59:C59</f>
        <v>0</v>
      </c>
      <c r="P38">
        <v>0</v>
      </c>
      <c r="Q38" cm="1">
        <f t="array" ref="Q38:R38">'דוח ביקורת'!F59:G59</f>
        <v>0</v>
      </c>
      <c r="R38">
        <v>0</v>
      </c>
      <c r="S38" cm="1">
        <f t="array" ref="S38:T38">'דוח ביקורת'!H59:I59</f>
        <v>0</v>
      </c>
      <c r="T38" s="38">
        <v>0</v>
      </c>
    </row>
    <row r="39" spans="15:20" x14ac:dyDescent="0.2">
      <c r="O39" s="37" cm="1">
        <f t="array" ref="O39:P39">'דוח ביקורת'!B60:C60</f>
        <v>0</v>
      </c>
      <c r="P39">
        <v>0</v>
      </c>
      <c r="Q39" cm="1">
        <f t="array" ref="Q39:R39">'דוח ביקורת'!F60:G60</f>
        <v>0</v>
      </c>
      <c r="R39">
        <v>0</v>
      </c>
      <c r="S39" cm="1">
        <f t="array" ref="S39:T39">'דוח ביקורת'!H60:I60</f>
        <v>0</v>
      </c>
      <c r="T39" s="38">
        <v>0</v>
      </c>
    </row>
    <row r="40" spans="15:20" x14ac:dyDescent="0.2">
      <c r="O40" s="37" cm="1">
        <f t="array" ref="O40:P40">'דוח ביקורת'!B61:C61</f>
        <v>0</v>
      </c>
      <c r="P40">
        <v>0</v>
      </c>
      <c r="Q40" cm="1">
        <f t="array" ref="Q40:R40">'דוח ביקורת'!F61:G61</f>
        <v>0</v>
      </c>
      <c r="R40">
        <v>0</v>
      </c>
      <c r="S40" cm="1">
        <f t="array" ref="S40:T40">'דוח ביקורת'!H61:I61</f>
        <v>0</v>
      </c>
      <c r="T40" s="38">
        <v>0</v>
      </c>
    </row>
    <row r="41" spans="15:20" x14ac:dyDescent="0.2">
      <c r="O41" s="37" cm="1">
        <f t="array" ref="O41:P41">'דוח ביקורת'!B62:C62</f>
        <v>0</v>
      </c>
      <c r="P41">
        <v>0</v>
      </c>
      <c r="Q41" cm="1">
        <f t="array" ref="Q41:R41">'דוח ביקורת'!F62:G62</f>
        <v>0</v>
      </c>
      <c r="R41">
        <v>0</v>
      </c>
      <c r="S41" cm="1">
        <f t="array" ref="S41:T41">'דוח ביקורת'!H62:I62</f>
        <v>0</v>
      </c>
      <c r="T41" s="38">
        <v>0</v>
      </c>
    </row>
    <row r="42" spans="15:20" x14ac:dyDescent="0.2">
      <c r="O42" s="37" cm="1">
        <f t="array" ref="O42:P42">'דוח ביקורת'!B63:C63</f>
        <v>0</v>
      </c>
      <c r="P42">
        <v>0</v>
      </c>
      <c r="Q42" cm="1">
        <f t="array" ref="Q42:R42">'דוח ביקורת'!F63:G63</f>
        <v>0</v>
      </c>
      <c r="R42">
        <v>0</v>
      </c>
      <c r="S42" cm="1">
        <f t="array" ref="S42:T42">'דוח ביקורת'!H63:I63</f>
        <v>0</v>
      </c>
      <c r="T42" s="38">
        <v>0</v>
      </c>
    </row>
    <row r="43" spans="15:20" x14ac:dyDescent="0.2">
      <c r="O43" s="37" cm="1">
        <f t="array" ref="O43:P43">'דוח ביקורת'!B64:C64</f>
        <v>0</v>
      </c>
      <c r="P43">
        <v>0</v>
      </c>
      <c r="Q43" cm="1">
        <f t="array" ref="Q43:R43">'דוח ביקורת'!F64:G64</f>
        <v>0</v>
      </c>
      <c r="R43">
        <v>0</v>
      </c>
      <c r="S43" cm="1">
        <f t="array" ref="S43:T43">'דוח ביקורת'!H64:I64</f>
        <v>0</v>
      </c>
      <c r="T43" s="38">
        <v>0</v>
      </c>
    </row>
    <row r="44" spans="15:20" x14ac:dyDescent="0.2">
      <c r="O44" s="37" cm="1">
        <f t="array" ref="O44:P44">'דוח ביקורת'!B65:C65</f>
        <v>0</v>
      </c>
      <c r="P44">
        <v>0</v>
      </c>
      <c r="Q44" cm="1">
        <f t="array" ref="Q44:R44">'דוח ביקורת'!F65:G65</f>
        <v>0</v>
      </c>
      <c r="R44">
        <v>0</v>
      </c>
      <c r="S44" cm="1">
        <f t="array" ref="S44:T44">'דוח ביקורת'!H65:I65</f>
        <v>0</v>
      </c>
      <c r="T44" s="38">
        <v>0</v>
      </c>
    </row>
    <row r="45" spans="15:20" x14ac:dyDescent="0.2">
      <c r="O45" s="37" cm="1">
        <f t="array" ref="O45:P45">'דוח ביקורת'!B66:C66</f>
        <v>0</v>
      </c>
      <c r="P45">
        <v>0</v>
      </c>
      <c r="Q45" cm="1">
        <f t="array" ref="Q45:R45">'דוח ביקורת'!F66:G66</f>
        <v>0</v>
      </c>
      <c r="R45">
        <v>0</v>
      </c>
      <c r="S45" cm="1">
        <f t="array" ref="S45:T45">'דוח ביקורת'!H66:I66</f>
        <v>0</v>
      </c>
      <c r="T45" s="38">
        <v>0</v>
      </c>
    </row>
    <row r="46" spans="15:20" x14ac:dyDescent="0.2">
      <c r="O46" s="37" cm="1">
        <f t="array" ref="O46:P46">'דוח ביקורת'!B67:C67</f>
        <v>0</v>
      </c>
      <c r="P46">
        <v>0</v>
      </c>
      <c r="Q46" cm="1">
        <f t="array" ref="Q46:R46">'דוח ביקורת'!F67:G67</f>
        <v>0</v>
      </c>
      <c r="R46">
        <v>0</v>
      </c>
      <c r="S46" cm="1">
        <f t="array" ref="S46:T46">'דוח ביקורת'!H67:I67</f>
        <v>0</v>
      </c>
      <c r="T46" s="38">
        <v>0</v>
      </c>
    </row>
    <row r="47" spans="15:20" x14ac:dyDescent="0.2">
      <c r="O47" s="37" cm="1">
        <f t="array" ref="O47:P47">'דוח ביקורת'!B68:C68</f>
        <v>0</v>
      </c>
      <c r="P47">
        <v>0</v>
      </c>
      <c r="Q47" cm="1">
        <f t="array" ref="Q47:R47">'דוח ביקורת'!F68:G68</f>
        <v>0</v>
      </c>
      <c r="R47">
        <v>0</v>
      </c>
      <c r="S47" cm="1">
        <f t="array" ref="S47:T47">'דוח ביקורת'!H68:I68</f>
        <v>0</v>
      </c>
      <c r="T47" s="38">
        <v>0</v>
      </c>
    </row>
    <row r="48" spans="15:20" x14ac:dyDescent="0.2">
      <c r="O48" s="37" cm="1">
        <f t="array" ref="O48:P48">'דוח ביקורת'!B69:C69</f>
        <v>0</v>
      </c>
      <c r="P48">
        <v>0</v>
      </c>
      <c r="Q48" cm="1">
        <f t="array" ref="Q48:R48">'דוח ביקורת'!F69:G69</f>
        <v>0</v>
      </c>
      <c r="R48">
        <v>0</v>
      </c>
      <c r="S48" cm="1">
        <f t="array" ref="S48:T48">'דוח ביקורת'!H69:I69</f>
        <v>0</v>
      </c>
      <c r="T48" s="38">
        <v>0</v>
      </c>
    </row>
    <row r="49" spans="15:20" x14ac:dyDescent="0.2">
      <c r="O49" s="37" cm="1">
        <f t="array" ref="O49:P49">'דוח ביקורת'!B70:C70</f>
        <v>0</v>
      </c>
      <c r="P49">
        <v>0</v>
      </c>
      <c r="Q49" cm="1">
        <f t="array" ref="Q49:R49">'דוח ביקורת'!F70:G70</f>
        <v>0</v>
      </c>
      <c r="R49">
        <v>0</v>
      </c>
      <c r="S49" cm="1">
        <f t="array" ref="S49:T49">'דוח ביקורת'!H70:I70</f>
        <v>0</v>
      </c>
      <c r="T49" s="38">
        <v>0</v>
      </c>
    </row>
    <row r="50" spans="15:20" x14ac:dyDescent="0.2">
      <c r="O50" s="37" cm="1">
        <f t="array" ref="O50:P50">'דוח ביקורת'!B71:C71</f>
        <v>0</v>
      </c>
      <c r="P50">
        <v>0</v>
      </c>
      <c r="Q50" cm="1">
        <f t="array" ref="Q50:R50">'דוח ביקורת'!F71:G71</f>
        <v>0</v>
      </c>
      <c r="R50">
        <v>0</v>
      </c>
      <c r="S50" cm="1">
        <f t="array" ref="S50:T50">'דוח ביקורת'!H71:I71</f>
        <v>0</v>
      </c>
      <c r="T50" s="38">
        <v>0</v>
      </c>
    </row>
    <row r="51" spans="15:20" x14ac:dyDescent="0.2">
      <c r="O51" s="37" cm="1">
        <f t="array" ref="O51:P51">'דוח ביקורת'!B72:C72</f>
        <v>0</v>
      </c>
      <c r="P51">
        <v>0</v>
      </c>
      <c r="Q51" cm="1">
        <f t="array" ref="Q51:R51">'דוח ביקורת'!F72:G72</f>
        <v>0</v>
      </c>
      <c r="R51">
        <v>0</v>
      </c>
      <c r="S51" cm="1">
        <f t="array" ref="S51:T51">'דוח ביקורת'!H72:I72</f>
        <v>0</v>
      </c>
      <c r="T51" s="38">
        <v>0</v>
      </c>
    </row>
    <row r="52" spans="15:20" x14ac:dyDescent="0.2">
      <c r="O52" s="37" cm="1">
        <f t="array" ref="O52:P52">'דוח ביקורת'!B73:C73</f>
        <v>0</v>
      </c>
      <c r="P52">
        <v>0</v>
      </c>
      <c r="Q52" cm="1">
        <f t="array" ref="Q52:R52">'דוח ביקורת'!F73:G73</f>
        <v>0</v>
      </c>
      <c r="R52">
        <v>0</v>
      </c>
      <c r="S52" cm="1">
        <f t="array" ref="S52:T52">'דוח ביקורת'!H73:I73</f>
        <v>0</v>
      </c>
      <c r="T52" s="38">
        <v>0</v>
      </c>
    </row>
    <row r="53" spans="15:20" x14ac:dyDescent="0.2">
      <c r="O53" s="37" cm="1">
        <f t="array" ref="O53:P53">'דוח ביקורת'!B74:C74</f>
        <v>0</v>
      </c>
      <c r="P53">
        <v>0</v>
      </c>
      <c r="Q53" cm="1">
        <f t="array" ref="Q53:R53">'דוח ביקורת'!F74:G74</f>
        <v>0</v>
      </c>
      <c r="R53">
        <v>0</v>
      </c>
      <c r="S53" cm="1">
        <f t="array" ref="S53:T53">'דוח ביקורת'!H74:I74</f>
        <v>0</v>
      </c>
      <c r="T53" s="38">
        <v>0</v>
      </c>
    </row>
    <row r="54" spans="15:20" x14ac:dyDescent="0.2">
      <c r="O54" s="37" cm="1">
        <f t="array" ref="O54:P54">'דוח ביקורת'!B75:C75</f>
        <v>0</v>
      </c>
      <c r="P54">
        <v>0</v>
      </c>
      <c r="Q54" cm="1">
        <f t="array" ref="Q54:R54">'דוח ביקורת'!F75:G75</f>
        <v>0</v>
      </c>
      <c r="R54">
        <v>0</v>
      </c>
      <c r="S54" cm="1">
        <f t="array" ref="S54:T54">'דוח ביקורת'!H75:I75</f>
        <v>0</v>
      </c>
      <c r="T54" s="38">
        <v>0</v>
      </c>
    </row>
    <row r="55" spans="15:20" x14ac:dyDescent="0.2">
      <c r="O55" s="37" cm="1">
        <f t="array" ref="O55:P55">'דוח ביקורת'!B76:C76</f>
        <v>0</v>
      </c>
      <c r="P55">
        <v>0</v>
      </c>
      <c r="Q55" cm="1">
        <f t="array" ref="Q55:R55">'דוח ביקורת'!F76:G76</f>
        <v>0</v>
      </c>
      <c r="R55">
        <v>0</v>
      </c>
      <c r="S55" cm="1">
        <f t="array" ref="S55:T55">'דוח ביקורת'!H76:I76</f>
        <v>0</v>
      </c>
      <c r="T55" s="38">
        <v>0</v>
      </c>
    </row>
    <row r="56" spans="15:20" x14ac:dyDescent="0.2">
      <c r="O56" s="37" cm="1">
        <f t="array" ref="O56:P56">'דוח ביקורת'!B77:C77</f>
        <v>0</v>
      </c>
      <c r="P56">
        <v>0</v>
      </c>
      <c r="Q56" cm="1">
        <f t="array" ref="Q56:R56">'דוח ביקורת'!F77:G77</f>
        <v>0</v>
      </c>
      <c r="R56">
        <v>0</v>
      </c>
      <c r="S56" cm="1">
        <f t="array" ref="S56:T56">'דוח ביקורת'!H77:I77</f>
        <v>0</v>
      </c>
      <c r="T56" s="38">
        <v>0</v>
      </c>
    </row>
    <row r="57" spans="15:20" x14ac:dyDescent="0.2">
      <c r="O57" s="37" cm="1">
        <f t="array" ref="O57:P57">'דוח ביקורת'!B78:C78</f>
        <v>0</v>
      </c>
      <c r="P57">
        <v>0</v>
      </c>
      <c r="Q57" cm="1">
        <f t="array" ref="Q57:R57">'דוח ביקורת'!F78:G78</f>
        <v>0</v>
      </c>
      <c r="R57">
        <v>0</v>
      </c>
      <c r="S57" cm="1">
        <f t="array" ref="S57:T57">'דוח ביקורת'!H78:I78</f>
        <v>0</v>
      </c>
      <c r="T57" s="38">
        <v>0</v>
      </c>
    </row>
    <row r="58" spans="15:20" x14ac:dyDescent="0.2">
      <c r="O58" s="37" cm="1">
        <f t="array" ref="O58:P58">'דוח ביקורת'!B79:C79</f>
        <v>0</v>
      </c>
      <c r="P58">
        <v>0</v>
      </c>
      <c r="Q58" cm="1">
        <f t="array" ref="Q58:R58">'דוח ביקורת'!F79:G79</f>
        <v>0</v>
      </c>
      <c r="R58">
        <v>0</v>
      </c>
      <c r="S58" cm="1">
        <f t="array" ref="S58:T58">'דוח ביקורת'!H79:I79</f>
        <v>0</v>
      </c>
      <c r="T58" s="38">
        <v>0</v>
      </c>
    </row>
    <row r="59" spans="15:20" x14ac:dyDescent="0.2">
      <c r="O59" s="37" cm="1">
        <f t="array" ref="O59:P59">'דוח ביקורת'!B80:C80</f>
        <v>0</v>
      </c>
      <c r="P59">
        <v>0</v>
      </c>
      <c r="Q59" cm="1">
        <f t="array" ref="Q59:R59">'דוח ביקורת'!F80:G80</f>
        <v>0</v>
      </c>
      <c r="R59">
        <v>0</v>
      </c>
      <c r="S59" cm="1">
        <f t="array" ref="S59:T59">'דוח ביקורת'!H80:I80</f>
        <v>0</v>
      </c>
      <c r="T59" s="38">
        <v>0</v>
      </c>
    </row>
    <row r="60" spans="15:20" x14ac:dyDescent="0.2">
      <c r="O60" s="37" cm="1">
        <f t="array" ref="O60:P60">'דוח ביקורת'!B81:C81</f>
        <v>0</v>
      </c>
      <c r="P60">
        <v>0</v>
      </c>
      <c r="Q60" cm="1">
        <f t="array" ref="Q60:R60">'דוח ביקורת'!F81:G81</f>
        <v>0</v>
      </c>
      <c r="R60">
        <v>0</v>
      </c>
      <c r="S60" cm="1">
        <f t="array" ref="S60:T60">'דוח ביקורת'!H81:I81</f>
        <v>0</v>
      </c>
      <c r="T60" s="38">
        <v>0</v>
      </c>
    </row>
    <row r="61" spans="15:20" x14ac:dyDescent="0.2">
      <c r="O61" s="37" cm="1">
        <f t="array" ref="O61:P61">'דוח ביקורת'!B82:C82</f>
        <v>0</v>
      </c>
      <c r="P61">
        <v>0</v>
      </c>
      <c r="Q61" cm="1">
        <f t="array" ref="Q61:R61">'דוח ביקורת'!F82:G82</f>
        <v>0</v>
      </c>
      <c r="R61">
        <v>0</v>
      </c>
      <c r="S61" cm="1">
        <f t="array" ref="S61:T61">'דוח ביקורת'!H82:I82</f>
        <v>0</v>
      </c>
      <c r="T61" s="38">
        <v>0</v>
      </c>
    </row>
    <row r="62" spans="15:20" x14ac:dyDescent="0.2">
      <c r="O62" s="37" cm="1">
        <f t="array" ref="O62:P62">'דוח ביקורת'!B83:C83</f>
        <v>0</v>
      </c>
      <c r="P62">
        <v>0</v>
      </c>
      <c r="Q62" cm="1">
        <f t="array" ref="Q62:R62">'דוח ביקורת'!F83:G83</f>
        <v>0</v>
      </c>
      <c r="R62">
        <v>0</v>
      </c>
      <c r="S62" cm="1">
        <f t="array" ref="S62:T62">'דוח ביקורת'!H83:I83</f>
        <v>0</v>
      </c>
      <c r="T62" s="38">
        <v>0</v>
      </c>
    </row>
    <row r="63" spans="15:20" x14ac:dyDescent="0.2">
      <c r="O63" s="37" cm="1">
        <f t="array" ref="O63:P63">'דוח ביקורת'!B84:C84</f>
        <v>0</v>
      </c>
      <c r="P63">
        <v>0</v>
      </c>
      <c r="Q63" cm="1">
        <f t="array" ref="Q63:R63">'דוח ביקורת'!F84:G84</f>
        <v>0</v>
      </c>
      <c r="R63">
        <v>0</v>
      </c>
      <c r="S63" cm="1">
        <f t="array" ref="S63:T63">'דוח ביקורת'!H84:I84</f>
        <v>0</v>
      </c>
      <c r="T63" s="38">
        <v>0</v>
      </c>
    </row>
    <row r="64" spans="15:20" x14ac:dyDescent="0.2">
      <c r="O64" s="37" cm="1">
        <f t="array" ref="O64:P64">'דוח ביקורת'!B85:C85</f>
        <v>0</v>
      </c>
      <c r="P64">
        <v>0</v>
      </c>
      <c r="Q64" cm="1">
        <f t="array" ref="Q64:R64">'דוח ביקורת'!F85:G85</f>
        <v>0</v>
      </c>
      <c r="R64">
        <v>0</v>
      </c>
      <c r="S64" cm="1">
        <f t="array" ref="S64:T64">'דוח ביקורת'!H85:I85</f>
        <v>0</v>
      </c>
      <c r="T64" s="38">
        <v>0</v>
      </c>
    </row>
    <row r="65" spans="15:20" x14ac:dyDescent="0.2">
      <c r="O65" s="37" cm="1">
        <f t="array" ref="O65:P65">'דוח ביקורת'!B86:C86</f>
        <v>0</v>
      </c>
      <c r="P65">
        <v>0</v>
      </c>
      <c r="Q65" cm="1">
        <f t="array" ref="Q65:R65">'דוח ביקורת'!F86:G86</f>
        <v>0</v>
      </c>
      <c r="R65">
        <v>0</v>
      </c>
      <c r="S65" cm="1">
        <f t="array" ref="S65:T65">'דוח ביקורת'!H86:I86</f>
        <v>0</v>
      </c>
      <c r="T65" s="38">
        <v>0</v>
      </c>
    </row>
    <row r="66" spans="15:20" x14ac:dyDescent="0.2">
      <c r="O66" s="37" cm="1">
        <f t="array" ref="O66:P66">'דוח ביקורת'!B87:C87</f>
        <v>0</v>
      </c>
      <c r="P66">
        <v>0</v>
      </c>
      <c r="Q66" cm="1">
        <f t="array" ref="Q66:R66">'דוח ביקורת'!F87:G87</f>
        <v>0</v>
      </c>
      <c r="R66">
        <v>0</v>
      </c>
      <c r="S66" cm="1">
        <f t="array" ref="S66:T66">'דוח ביקורת'!H87:I87</f>
        <v>0</v>
      </c>
      <c r="T66" s="38">
        <v>0</v>
      </c>
    </row>
    <row r="67" spans="15:20" x14ac:dyDescent="0.2">
      <c r="O67" s="37" cm="1">
        <f t="array" ref="O67:P67">'דוח ביקורת'!B88:C88</f>
        <v>0</v>
      </c>
      <c r="P67">
        <v>0</v>
      </c>
      <c r="Q67" cm="1">
        <f t="array" ref="Q67:R67">'דוח ביקורת'!F88:G88</f>
        <v>0</v>
      </c>
      <c r="R67">
        <v>0</v>
      </c>
      <c r="S67" cm="1">
        <f t="array" ref="S67:T67">'דוח ביקורת'!H88:I88</f>
        <v>0</v>
      </c>
      <c r="T67" s="38">
        <v>0</v>
      </c>
    </row>
    <row r="68" spans="15:20" x14ac:dyDescent="0.2">
      <c r="O68" s="37" cm="1">
        <f t="array" ref="O68:P68">'דוח ביקורת'!B89:C89</f>
        <v>0</v>
      </c>
      <c r="P68">
        <v>0</v>
      </c>
      <c r="Q68" cm="1">
        <f t="array" ref="Q68:R68">'דוח ביקורת'!F89:G89</f>
        <v>0</v>
      </c>
      <c r="R68">
        <v>0</v>
      </c>
      <c r="S68" cm="1">
        <f t="array" ref="S68:T68">'דוח ביקורת'!H89:I89</f>
        <v>0</v>
      </c>
      <c r="T68" s="38">
        <v>0</v>
      </c>
    </row>
    <row r="69" spans="15:20" x14ac:dyDescent="0.2">
      <c r="O69" s="37" cm="1">
        <f t="array" ref="O69:P69">'דוח ביקורת'!B90:C90</f>
        <v>0</v>
      </c>
      <c r="P69">
        <v>0</v>
      </c>
      <c r="Q69" cm="1">
        <f t="array" ref="Q69:R69">'דוח ביקורת'!F90:G90</f>
        <v>0</v>
      </c>
      <c r="R69">
        <v>0</v>
      </c>
      <c r="S69" cm="1">
        <f t="array" ref="S69:T69">'דוח ביקורת'!H90:I90</f>
        <v>0</v>
      </c>
      <c r="T69" s="38">
        <v>0</v>
      </c>
    </row>
    <row r="70" spans="15:20" x14ac:dyDescent="0.2">
      <c r="O70" s="37" cm="1">
        <f t="array" ref="O70:P70">'דוח ביקורת'!B91:C91</f>
        <v>0</v>
      </c>
      <c r="P70">
        <v>0</v>
      </c>
      <c r="Q70" cm="1">
        <f t="array" ref="Q70:R70">'דוח ביקורת'!F91:G91</f>
        <v>0</v>
      </c>
      <c r="R70">
        <v>0</v>
      </c>
      <c r="S70" cm="1">
        <f t="array" ref="S70:T70">'דוח ביקורת'!H91:I91</f>
        <v>0</v>
      </c>
      <c r="T70" s="38">
        <v>0</v>
      </c>
    </row>
    <row r="71" spans="15:20" x14ac:dyDescent="0.2">
      <c r="O71" s="37" cm="1">
        <f t="array" ref="O71:P71">'דוח ביקורת'!B92:C92</f>
        <v>0</v>
      </c>
      <c r="P71">
        <v>0</v>
      </c>
      <c r="Q71" cm="1">
        <f t="array" ref="Q71:R71">'דוח ביקורת'!F92:G92</f>
        <v>0</v>
      </c>
      <c r="R71">
        <v>0</v>
      </c>
      <c r="S71" cm="1">
        <f t="array" ref="S71:T71">'דוח ביקורת'!H92:I92</f>
        <v>0</v>
      </c>
      <c r="T71" s="38">
        <v>0</v>
      </c>
    </row>
    <row r="72" spans="15:20" x14ac:dyDescent="0.2">
      <c r="O72" s="37" cm="1">
        <f t="array" ref="O72:P72">'דוח ביקורת'!B93:C93</f>
        <v>0</v>
      </c>
      <c r="P72">
        <v>0</v>
      </c>
      <c r="Q72" cm="1">
        <f t="array" ref="Q72:R72">'דוח ביקורת'!F93:G93</f>
        <v>0</v>
      </c>
      <c r="R72">
        <v>0</v>
      </c>
      <c r="S72" cm="1">
        <f t="array" ref="S72:T72">'דוח ביקורת'!H93:I93</f>
        <v>0</v>
      </c>
      <c r="T72" s="38">
        <v>0</v>
      </c>
    </row>
    <row r="73" spans="15:20" x14ac:dyDescent="0.2">
      <c r="O73" s="37" cm="1">
        <f t="array" ref="O73:P73">'דוח ביקורת'!B94:C94</f>
        <v>0</v>
      </c>
      <c r="P73">
        <v>0</v>
      </c>
      <c r="Q73" cm="1">
        <f t="array" ref="Q73:R73">'דוח ביקורת'!F94:G94</f>
        <v>0</v>
      </c>
      <c r="R73">
        <v>0</v>
      </c>
      <c r="S73" cm="1">
        <f t="array" ref="S73:T73">'דוח ביקורת'!H94:I94</f>
        <v>0</v>
      </c>
      <c r="T73" s="38">
        <v>0</v>
      </c>
    </row>
    <row r="74" spans="15:20" x14ac:dyDescent="0.2">
      <c r="O74" s="37" cm="1">
        <f t="array" ref="O74:P74">'דוח ביקורת'!B95:C95</f>
        <v>0</v>
      </c>
      <c r="P74">
        <v>0</v>
      </c>
      <c r="Q74" cm="1">
        <f t="array" ref="Q74:R74">'דוח ביקורת'!F95:G95</f>
        <v>0</v>
      </c>
      <c r="R74">
        <v>0</v>
      </c>
      <c r="S74" cm="1">
        <f t="array" ref="S74:T74">'דוח ביקורת'!H95:I95</f>
        <v>0</v>
      </c>
      <c r="T74" s="38">
        <v>0</v>
      </c>
    </row>
    <row r="75" spans="15:20" x14ac:dyDescent="0.2">
      <c r="O75" s="37" cm="1">
        <f t="array" ref="O75:P75">'דוח ביקורת'!B96:C96</f>
        <v>0</v>
      </c>
      <c r="P75">
        <v>0</v>
      </c>
      <c r="Q75" cm="1">
        <f t="array" ref="Q75:R75">'דוח ביקורת'!F96:G96</f>
        <v>0</v>
      </c>
      <c r="R75">
        <v>0</v>
      </c>
      <c r="S75" cm="1">
        <f t="array" ref="S75:T75">'דוח ביקורת'!H96:I96</f>
        <v>0</v>
      </c>
      <c r="T75" s="38">
        <v>0</v>
      </c>
    </row>
    <row r="76" spans="15:20" x14ac:dyDescent="0.2">
      <c r="O76" s="37" cm="1">
        <f t="array" ref="O76:P76">'דוח ביקורת'!B97:C97</f>
        <v>0</v>
      </c>
      <c r="P76">
        <v>0</v>
      </c>
      <c r="Q76" cm="1">
        <f t="array" ref="Q76:R76">'דוח ביקורת'!F97:G97</f>
        <v>0</v>
      </c>
      <c r="R76">
        <v>0</v>
      </c>
      <c r="S76" cm="1">
        <f t="array" ref="S76:T76">'דוח ביקורת'!H97:I97</f>
        <v>0</v>
      </c>
      <c r="T76" s="38">
        <v>0</v>
      </c>
    </row>
    <row r="77" spans="15:20" x14ac:dyDescent="0.2">
      <c r="O77" s="37" cm="1">
        <f t="array" ref="O77:P77">'דוח ביקורת'!B98:C98</f>
        <v>0</v>
      </c>
      <c r="P77">
        <v>0</v>
      </c>
      <c r="Q77" cm="1">
        <f t="array" ref="Q77:R77">'דוח ביקורת'!F98:G98</f>
        <v>0</v>
      </c>
      <c r="R77">
        <v>0</v>
      </c>
      <c r="S77" cm="1">
        <f t="array" ref="S77:T77">'דוח ביקורת'!H98:I98</f>
        <v>0</v>
      </c>
      <c r="T77" s="38">
        <v>0</v>
      </c>
    </row>
    <row r="78" spans="15:20" x14ac:dyDescent="0.2">
      <c r="O78" s="37" cm="1">
        <f t="array" ref="O78:P78">'דוח ביקורת'!B99:C99</f>
        <v>0</v>
      </c>
      <c r="P78">
        <v>0</v>
      </c>
      <c r="Q78" cm="1">
        <f t="array" ref="Q78:R78">'דוח ביקורת'!F99:G99</f>
        <v>0</v>
      </c>
      <c r="R78">
        <v>0</v>
      </c>
      <c r="S78" cm="1">
        <f t="array" ref="S78:T78">'דוח ביקורת'!H99:I99</f>
        <v>0</v>
      </c>
      <c r="T78" s="38">
        <v>0</v>
      </c>
    </row>
    <row r="79" spans="15:20" x14ac:dyDescent="0.2">
      <c r="O79" s="37" cm="1">
        <f t="array" ref="O79:P79">'דוח ביקורת'!B100:C100</f>
        <v>0</v>
      </c>
      <c r="P79">
        <v>0</v>
      </c>
      <c r="Q79" cm="1">
        <f t="array" ref="Q79:R79">'דוח ביקורת'!F100:G100</f>
        <v>0</v>
      </c>
      <c r="R79">
        <v>0</v>
      </c>
      <c r="S79" cm="1">
        <f t="array" ref="S79:T79">'דוח ביקורת'!H100:I100</f>
        <v>0</v>
      </c>
      <c r="T79" s="38">
        <v>0</v>
      </c>
    </row>
    <row r="80" spans="15:20" x14ac:dyDescent="0.2">
      <c r="O80" s="37" cm="1">
        <f t="array" ref="O80:P80">'דוח ביקורת'!B101:C101</f>
        <v>0</v>
      </c>
      <c r="P80">
        <v>0</v>
      </c>
      <c r="Q80" cm="1">
        <f t="array" ref="Q80:R80">'דוח ביקורת'!F101:G101</f>
        <v>0</v>
      </c>
      <c r="R80">
        <v>0</v>
      </c>
      <c r="S80" cm="1">
        <f t="array" ref="S80:T80">'דוח ביקורת'!H101:I101</f>
        <v>0</v>
      </c>
      <c r="T80" s="38">
        <v>0</v>
      </c>
    </row>
    <row r="81" spans="15:20" ht="15" thickBot="1" x14ac:dyDescent="0.25">
      <c r="O81" s="39" cm="1">
        <f t="array" ref="O81:P81">'דוח ביקורת'!B102:C102</f>
        <v>0</v>
      </c>
      <c r="P81" s="23">
        <v>0</v>
      </c>
      <c r="Q81" s="23" cm="1">
        <f t="array" ref="Q81:R81">'דוח ביקורת'!F102:G102</f>
        <v>0</v>
      </c>
      <c r="R81" s="23">
        <v>0</v>
      </c>
      <c r="S81" s="23" cm="1">
        <f t="array" ref="S81:T81">'דוח ביקורת'!H102:I102</f>
        <v>0</v>
      </c>
      <c r="T81" s="40">
        <v>0</v>
      </c>
    </row>
  </sheetData>
  <customSheetViews>
    <customSheetView guid="{6A413C5E-66D3-4F44-AAA6-E84C5671B7D4}">
      <selection activeCell="B2" sqref="B2:E2"/>
      <pageMargins left="0.7" right="0.7" top="0.75" bottom="0.75" header="0.3" footer="0.3"/>
    </customSheetView>
  </customSheetViews>
  <mergeCells count="4">
    <mergeCell ref="B20:E20"/>
    <mergeCell ref="Y3:AB3"/>
    <mergeCell ref="B3:E3"/>
    <mergeCell ref="G2:N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9F2F-F78C-4305-9243-68879B6B4900}">
  <sheetPr codeName="גיליון5"/>
  <dimension ref="O2:T35"/>
  <sheetViews>
    <sheetView rightToLeft="1" topLeftCell="B1" workbookViewId="0">
      <selection activeCell="T11" sqref="T11"/>
    </sheetView>
  </sheetViews>
  <sheetFormatPr defaultRowHeight="14.25" x14ac:dyDescent="0.2"/>
  <cols>
    <col min="13" max="13" width="30.125" customWidth="1"/>
    <col min="14" max="14" width="0.25" customWidth="1"/>
    <col min="15" max="15" width="14.75" customWidth="1"/>
    <col min="17" max="17" width="0.25" customWidth="1"/>
    <col min="18" max="19" width="9.125" hidden="1" customWidth="1"/>
    <col min="20" max="20" width="32.375" customWidth="1"/>
  </cols>
  <sheetData>
    <row r="2" spans="15:20" ht="15" thickBot="1" x14ac:dyDescent="0.25"/>
    <row r="3" spans="15:20" x14ac:dyDescent="0.2">
      <c r="O3" s="578" t="s">
        <v>158</v>
      </c>
      <c r="P3" s="35"/>
      <c r="Q3" s="35"/>
      <c r="R3" s="35"/>
      <c r="S3" s="35"/>
      <c r="T3" s="36" t="s">
        <v>160</v>
      </c>
    </row>
    <row r="4" spans="15:20" x14ac:dyDescent="0.2">
      <c r="O4" s="579"/>
      <c r="T4" s="38" t="s">
        <v>161</v>
      </c>
    </row>
    <row r="5" spans="15:20" x14ac:dyDescent="0.2">
      <c r="O5" s="579"/>
      <c r="T5" s="38" t="s">
        <v>162</v>
      </c>
    </row>
    <row r="6" spans="15:20" x14ac:dyDescent="0.2">
      <c r="O6" s="579"/>
      <c r="T6" s="38" t="s">
        <v>419</v>
      </c>
    </row>
    <row r="7" spans="15:20" x14ac:dyDescent="0.2">
      <c r="O7" s="579"/>
      <c r="T7" s="38" t="s">
        <v>163</v>
      </c>
    </row>
    <row r="8" spans="15:20" x14ac:dyDescent="0.2">
      <c r="O8" s="579"/>
      <c r="T8" s="38" t="s">
        <v>408</v>
      </c>
    </row>
    <row r="9" spans="15:20" x14ac:dyDescent="0.2">
      <c r="O9" s="579"/>
      <c r="T9" s="38" t="s">
        <v>377</v>
      </c>
    </row>
    <row r="10" spans="15:20" x14ac:dyDescent="0.2">
      <c r="O10" s="579"/>
      <c r="T10" s="38" t="s">
        <v>420</v>
      </c>
    </row>
    <row r="11" spans="15:20" x14ac:dyDescent="0.2">
      <c r="O11" s="579"/>
      <c r="T11" s="38"/>
    </row>
    <row r="12" spans="15:20" x14ac:dyDescent="0.2">
      <c r="O12" s="579"/>
      <c r="T12" s="38"/>
    </row>
    <row r="13" spans="15:20" ht="15" thickBot="1" x14ac:dyDescent="0.25">
      <c r="O13" s="580"/>
      <c r="P13" s="23"/>
      <c r="Q13" s="23"/>
      <c r="R13" s="23"/>
      <c r="S13" s="23"/>
      <c r="T13" s="40"/>
    </row>
    <row r="14" spans="15:20" x14ac:dyDescent="0.2">
      <c r="O14" s="578" t="s">
        <v>159</v>
      </c>
      <c r="P14" s="35"/>
      <c r="Q14" s="35"/>
      <c r="R14" s="35"/>
      <c r="S14" s="35"/>
      <c r="T14" s="36" t="s">
        <v>168</v>
      </c>
    </row>
    <row r="15" spans="15:20" x14ac:dyDescent="0.2">
      <c r="O15" s="579"/>
      <c r="T15" s="38" t="s">
        <v>165</v>
      </c>
    </row>
    <row r="16" spans="15:20" x14ac:dyDescent="0.2">
      <c r="O16" s="579"/>
      <c r="T16" s="38" t="s">
        <v>171</v>
      </c>
    </row>
    <row r="17" spans="15:20" x14ac:dyDescent="0.2">
      <c r="O17" s="579"/>
      <c r="T17" s="38" t="s">
        <v>166</v>
      </c>
    </row>
    <row r="18" spans="15:20" x14ac:dyDescent="0.2">
      <c r="O18" s="579"/>
      <c r="T18" s="38" t="s">
        <v>169</v>
      </c>
    </row>
    <row r="19" spans="15:20" x14ac:dyDescent="0.2">
      <c r="O19" s="579"/>
      <c r="T19" s="38" t="s">
        <v>170</v>
      </c>
    </row>
    <row r="20" spans="15:20" x14ac:dyDescent="0.2">
      <c r="O20" s="579"/>
      <c r="T20" s="38" t="s">
        <v>164</v>
      </c>
    </row>
    <row r="21" spans="15:20" x14ac:dyDescent="0.2">
      <c r="O21" s="579"/>
      <c r="T21" s="38" t="s">
        <v>167</v>
      </c>
    </row>
    <row r="22" spans="15:20" x14ac:dyDescent="0.2">
      <c r="O22" s="579"/>
      <c r="T22" s="38" t="s">
        <v>172</v>
      </c>
    </row>
    <row r="23" spans="15:20" x14ac:dyDescent="0.2">
      <c r="O23" s="579"/>
      <c r="T23" s="38" t="s">
        <v>409</v>
      </c>
    </row>
    <row r="24" spans="15:20" x14ac:dyDescent="0.2">
      <c r="O24" s="579"/>
      <c r="T24" s="38" t="s">
        <v>410</v>
      </c>
    </row>
    <row r="25" spans="15:20" x14ac:dyDescent="0.2">
      <c r="O25" s="579"/>
      <c r="T25" s="38" t="s">
        <v>411</v>
      </c>
    </row>
    <row r="26" spans="15:20" x14ac:dyDescent="0.2">
      <c r="O26" s="579"/>
      <c r="T26" s="38"/>
    </row>
    <row r="27" spans="15:20" x14ac:dyDescent="0.2">
      <c r="O27" s="579"/>
      <c r="T27" s="38"/>
    </row>
    <row r="28" spans="15:20" x14ac:dyDescent="0.2">
      <c r="O28" s="579"/>
      <c r="T28" s="38"/>
    </row>
    <row r="29" spans="15:20" x14ac:dyDescent="0.2">
      <c r="O29" s="579"/>
      <c r="T29" s="38"/>
    </row>
    <row r="30" spans="15:20" x14ac:dyDescent="0.2">
      <c r="O30" s="579"/>
      <c r="T30" s="38"/>
    </row>
    <row r="31" spans="15:20" x14ac:dyDescent="0.2">
      <c r="O31" s="579"/>
      <c r="T31" s="38"/>
    </row>
    <row r="32" spans="15:20" x14ac:dyDescent="0.2">
      <c r="O32" s="579"/>
      <c r="T32" s="38"/>
    </row>
    <row r="33" spans="15:20" x14ac:dyDescent="0.2">
      <c r="O33" s="579"/>
      <c r="T33" s="38"/>
    </row>
    <row r="34" spans="15:20" x14ac:dyDescent="0.2">
      <c r="O34" s="579"/>
      <c r="T34" s="38"/>
    </row>
    <row r="35" spans="15:20" ht="15" thickBot="1" x14ac:dyDescent="0.25">
      <c r="O35" s="580"/>
      <c r="P35" s="23"/>
      <c r="Q35" s="23"/>
      <c r="R35" s="23"/>
      <c r="S35" s="23"/>
      <c r="T35" s="40"/>
    </row>
  </sheetData>
  <mergeCells count="2">
    <mergeCell ref="O14:O35"/>
    <mergeCell ref="O3:O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B363-A88F-4A20-8008-69FF609AE7B8}">
  <sheetPr codeName="גיליון7"/>
  <dimension ref="P1:P51"/>
  <sheetViews>
    <sheetView rightToLeft="1" topLeftCell="A19" workbookViewId="0">
      <selection activeCell="J50" sqref="J50"/>
    </sheetView>
  </sheetViews>
  <sheetFormatPr defaultRowHeight="14.25" x14ac:dyDescent="0.2"/>
  <cols>
    <col min="16" max="16" width="19.875" customWidth="1"/>
    <col min="21" max="21" width="9.875" bestFit="1" customWidth="1"/>
  </cols>
  <sheetData>
    <row r="1" spans="16:16" x14ac:dyDescent="0.2">
      <c r="P1" s="4"/>
    </row>
    <row r="2" spans="16:16" x14ac:dyDescent="0.2">
      <c r="P2" s="4"/>
    </row>
    <row r="3" spans="16:16" x14ac:dyDescent="0.2">
      <c r="P3" s="4"/>
    </row>
    <row r="4" spans="16:16" x14ac:dyDescent="0.2">
      <c r="P4" s="4"/>
    </row>
    <row r="5" spans="16:16" x14ac:dyDescent="0.2">
      <c r="P5" s="4"/>
    </row>
    <row r="6" spans="16:16" x14ac:dyDescent="0.2">
      <c r="P6" s="4"/>
    </row>
    <row r="7" spans="16:16" x14ac:dyDescent="0.2">
      <c r="P7" s="4"/>
    </row>
    <row r="8" spans="16:16" x14ac:dyDescent="0.2">
      <c r="P8" s="4"/>
    </row>
    <row r="9" spans="16:16" x14ac:dyDescent="0.2">
      <c r="P9" s="4"/>
    </row>
    <row r="10" spans="16:16" x14ac:dyDescent="0.2">
      <c r="P10" s="4"/>
    </row>
    <row r="11" spans="16:16" x14ac:dyDescent="0.2">
      <c r="P11" s="4"/>
    </row>
    <row r="12" spans="16:16" x14ac:dyDescent="0.2">
      <c r="P12" s="4"/>
    </row>
    <row r="13" spans="16:16" x14ac:dyDescent="0.2">
      <c r="P13" s="4"/>
    </row>
    <row r="14" spans="16:16" x14ac:dyDescent="0.2">
      <c r="P14" s="4"/>
    </row>
    <row r="15" spans="16:16" x14ac:dyDescent="0.2">
      <c r="P15" s="4"/>
    </row>
    <row r="16" spans="16:16" x14ac:dyDescent="0.2">
      <c r="P16" s="4"/>
    </row>
    <row r="17" spans="16:16" x14ac:dyDescent="0.2">
      <c r="P17" s="4" t="s">
        <v>83</v>
      </c>
    </row>
    <row r="18" spans="16:16" x14ac:dyDescent="0.2">
      <c r="P18" s="4" t="s">
        <v>84</v>
      </c>
    </row>
    <row r="19" spans="16:16" x14ac:dyDescent="0.2">
      <c r="P19" s="4" t="s">
        <v>73</v>
      </c>
    </row>
    <row r="20" spans="16:16" x14ac:dyDescent="0.2">
      <c r="P20" s="4" t="s">
        <v>86</v>
      </c>
    </row>
    <row r="21" spans="16:16" x14ac:dyDescent="0.2">
      <c r="P21" s="4" t="s">
        <v>85</v>
      </c>
    </row>
    <row r="22" spans="16:16" x14ac:dyDescent="0.2">
      <c r="P22" s="4" t="s">
        <v>87</v>
      </c>
    </row>
    <row r="23" spans="16:16" x14ac:dyDescent="0.2">
      <c r="P23" s="4" t="s">
        <v>70</v>
      </c>
    </row>
    <row r="24" spans="16:16" x14ac:dyDescent="0.2">
      <c r="P24" s="4" t="s">
        <v>88</v>
      </c>
    </row>
    <row r="25" spans="16:16" x14ac:dyDescent="0.2">
      <c r="P25" s="4" t="s">
        <v>71</v>
      </c>
    </row>
    <row r="26" spans="16:16" x14ac:dyDescent="0.2">
      <c r="P26" s="4" t="s">
        <v>76</v>
      </c>
    </row>
    <row r="27" spans="16:16" x14ac:dyDescent="0.2">
      <c r="P27" s="4" t="s">
        <v>77</v>
      </c>
    </row>
    <row r="28" spans="16:16" x14ac:dyDescent="0.2">
      <c r="P28" s="4" t="s">
        <v>78</v>
      </c>
    </row>
    <row r="29" spans="16:16" x14ac:dyDescent="0.2">
      <c r="P29" s="4" t="s">
        <v>75</v>
      </c>
    </row>
    <row r="30" spans="16:16" x14ac:dyDescent="0.2">
      <c r="P30" s="4" t="s">
        <v>79</v>
      </c>
    </row>
    <row r="31" spans="16:16" x14ac:dyDescent="0.2">
      <c r="P31" s="4" t="s">
        <v>74</v>
      </c>
    </row>
    <row r="32" spans="16:16" x14ac:dyDescent="0.2">
      <c r="P32" s="4" t="s">
        <v>80</v>
      </c>
    </row>
    <row r="33" spans="16:16" x14ac:dyDescent="0.2">
      <c r="P33" s="4" t="s">
        <v>81</v>
      </c>
    </row>
    <row r="34" spans="16:16" x14ac:dyDescent="0.2">
      <c r="P34" s="4" t="s">
        <v>82</v>
      </c>
    </row>
    <row r="35" spans="16:16" x14ac:dyDescent="0.2">
      <c r="P35" s="4" t="s">
        <v>89</v>
      </c>
    </row>
    <row r="36" spans="16:16" x14ac:dyDescent="0.2">
      <c r="P36" s="4" t="s">
        <v>72</v>
      </c>
    </row>
    <row r="37" spans="16:16" x14ac:dyDescent="0.2">
      <c r="P37" s="4" t="s">
        <v>90</v>
      </c>
    </row>
    <row r="38" spans="16:16" x14ac:dyDescent="0.2">
      <c r="P38" s="4" t="s">
        <v>56</v>
      </c>
    </row>
    <row r="39" spans="16:16" x14ac:dyDescent="0.2">
      <c r="P39" s="4" t="s">
        <v>324</v>
      </c>
    </row>
    <row r="40" spans="16:16" x14ac:dyDescent="0.2">
      <c r="P40" s="4" t="s">
        <v>325</v>
      </c>
    </row>
    <row r="41" spans="16:16" x14ac:dyDescent="0.2">
      <c r="P41" s="4" t="s">
        <v>326</v>
      </c>
    </row>
    <row r="42" spans="16:16" x14ac:dyDescent="0.2">
      <c r="P42" s="4" t="s">
        <v>327</v>
      </c>
    </row>
    <row r="43" spans="16:16" x14ac:dyDescent="0.2">
      <c r="P43" s="4" t="s">
        <v>328</v>
      </c>
    </row>
    <row r="44" spans="16:16" x14ac:dyDescent="0.2">
      <c r="P44" s="109" t="s">
        <v>329</v>
      </c>
    </row>
    <row r="45" spans="16:16" x14ac:dyDescent="0.2">
      <c r="P45" s="109" t="s">
        <v>332</v>
      </c>
    </row>
    <row r="46" spans="16:16" x14ac:dyDescent="0.2">
      <c r="P46" s="4" t="s">
        <v>333</v>
      </c>
    </row>
    <row r="47" spans="16:16" x14ac:dyDescent="0.2">
      <c r="P47" s="4" t="s">
        <v>334</v>
      </c>
    </row>
    <row r="48" spans="16:16" x14ac:dyDescent="0.2">
      <c r="P48" s="4" t="s">
        <v>335</v>
      </c>
    </row>
    <row r="49" spans="16:16" x14ac:dyDescent="0.2">
      <c r="P49" s="4" t="s">
        <v>374</v>
      </c>
    </row>
    <row r="50" spans="16:16" x14ac:dyDescent="0.2">
      <c r="P50" s="109" t="s">
        <v>421</v>
      </c>
    </row>
    <row r="51" spans="16:16" x14ac:dyDescent="0.2">
      <c r="P51" s="109" t="s">
        <v>328</v>
      </c>
    </row>
  </sheetData>
  <autoFilter ref="P6:P27" xr:uid="{1F57B363-A88F-4A20-8008-69FF609AE7B8}">
    <sortState xmlns:xlrd2="http://schemas.microsoft.com/office/spreadsheetml/2017/richdata2" ref="P7:P27">
      <sortCondition ref="P6:P27"/>
    </sortState>
  </autoFilter>
  <customSheetViews>
    <customSheetView guid="{6A413C5E-66D3-4F44-AAA6-E84C5671B7D4}" showAutoFilter="1">
      <selection activeCell="P29" sqref="P29"/>
      <pageMargins left="0.7" right="0.7" top="0.75" bottom="0.75" header="0.3" footer="0.3"/>
      <autoFilter ref="P6:P27" xr:uid="{685C287F-6AA8-4DC6-AA94-05EB6A8E1EEF}">
        <sortState xmlns:xlrd2="http://schemas.microsoft.com/office/spreadsheetml/2017/richdata2" ref="P7:P27">
          <sortCondition ref="P6:P27"/>
        </sortState>
      </autoFilter>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D435C-CE8E-44A5-9443-7B6327A04F2D}">
  <sheetPr codeName="גיליון8"/>
  <dimension ref="U10:U49"/>
  <sheetViews>
    <sheetView rightToLeft="1" view="pageLayout" topLeftCell="S1" zoomScaleNormal="100" workbookViewId="0">
      <selection activeCell="U5" sqref="U5"/>
    </sheetView>
  </sheetViews>
  <sheetFormatPr defaultRowHeight="14.25" x14ac:dyDescent="0.2"/>
  <cols>
    <col min="21" max="21" width="17" bestFit="1" customWidth="1"/>
  </cols>
  <sheetData>
    <row r="10" spans="21:21" x14ac:dyDescent="0.2">
      <c r="U10" s="4" t="s">
        <v>35</v>
      </c>
    </row>
    <row r="11" spans="21:21" x14ac:dyDescent="0.2">
      <c r="U11" s="4" t="s">
        <v>57</v>
      </c>
    </row>
    <row r="12" spans="21:21" x14ac:dyDescent="0.2">
      <c r="U12" s="4" t="s">
        <v>68</v>
      </c>
    </row>
    <row r="13" spans="21:21" x14ac:dyDescent="0.2">
      <c r="U13" s="4" t="s">
        <v>64</v>
      </c>
    </row>
    <row r="14" spans="21:21" x14ac:dyDescent="0.2">
      <c r="U14" s="4" t="s">
        <v>67</v>
      </c>
    </row>
    <row r="15" spans="21:21" x14ac:dyDescent="0.2">
      <c r="U15" s="4" t="s">
        <v>63</v>
      </c>
    </row>
    <row r="16" spans="21:21" x14ac:dyDescent="0.2">
      <c r="U16" s="4" t="s">
        <v>55</v>
      </c>
    </row>
    <row r="17" spans="21:21" x14ac:dyDescent="0.2">
      <c r="U17" s="4" t="s">
        <v>61</v>
      </c>
    </row>
    <row r="18" spans="21:21" x14ac:dyDescent="0.2">
      <c r="U18" s="4" t="s">
        <v>58</v>
      </c>
    </row>
    <row r="19" spans="21:21" x14ac:dyDescent="0.2">
      <c r="U19" s="4" t="s">
        <v>59</v>
      </c>
    </row>
    <row r="20" spans="21:21" x14ac:dyDescent="0.2">
      <c r="U20" s="4" t="s">
        <v>52</v>
      </c>
    </row>
    <row r="21" spans="21:21" x14ac:dyDescent="0.2">
      <c r="U21" s="4" t="s">
        <v>53</v>
      </c>
    </row>
    <row r="22" spans="21:21" x14ac:dyDescent="0.2">
      <c r="U22" s="4" t="s">
        <v>66</v>
      </c>
    </row>
    <row r="23" spans="21:21" x14ac:dyDescent="0.2">
      <c r="U23" s="4" t="s">
        <v>54</v>
      </c>
    </row>
    <row r="24" spans="21:21" x14ac:dyDescent="0.2">
      <c r="U24" s="4" t="s">
        <v>65</v>
      </c>
    </row>
    <row r="25" spans="21:21" x14ac:dyDescent="0.2">
      <c r="U25" s="4" t="s">
        <v>69</v>
      </c>
    </row>
    <row r="26" spans="21:21" x14ac:dyDescent="0.2">
      <c r="U26" s="4" t="s">
        <v>56</v>
      </c>
    </row>
    <row r="27" spans="21:21" x14ac:dyDescent="0.2">
      <c r="U27" s="4" t="s">
        <v>43</v>
      </c>
    </row>
    <row r="28" spans="21:21" x14ac:dyDescent="0.2">
      <c r="U28" s="4" t="s">
        <v>330</v>
      </c>
    </row>
    <row r="29" spans="21:21" x14ac:dyDescent="0.2">
      <c r="U29" s="4" t="s">
        <v>62</v>
      </c>
    </row>
    <row r="30" spans="21:21" x14ac:dyDescent="0.2">
      <c r="U30" s="4" t="s">
        <v>40</v>
      </c>
    </row>
    <row r="31" spans="21:21" x14ac:dyDescent="0.2">
      <c r="U31" s="4" t="s">
        <v>44</v>
      </c>
    </row>
    <row r="32" spans="21:21" x14ac:dyDescent="0.2">
      <c r="U32" s="4" t="s">
        <v>36</v>
      </c>
    </row>
    <row r="33" spans="21:21" x14ac:dyDescent="0.2">
      <c r="U33" s="4" t="s">
        <v>48</v>
      </c>
    </row>
    <row r="34" spans="21:21" x14ac:dyDescent="0.2">
      <c r="U34" s="4" t="s">
        <v>49</v>
      </c>
    </row>
    <row r="35" spans="21:21" x14ac:dyDescent="0.2">
      <c r="U35" s="4" t="s">
        <v>38</v>
      </c>
    </row>
    <row r="36" spans="21:21" x14ac:dyDescent="0.2">
      <c r="U36" s="4" t="s">
        <v>39</v>
      </c>
    </row>
    <row r="37" spans="21:21" x14ac:dyDescent="0.2">
      <c r="U37" s="4" t="s">
        <v>42</v>
      </c>
    </row>
    <row r="38" spans="21:21" x14ac:dyDescent="0.2">
      <c r="U38" s="4" t="s">
        <v>50</v>
      </c>
    </row>
    <row r="39" spans="21:21" x14ac:dyDescent="0.2">
      <c r="U39" s="4" t="s">
        <v>45</v>
      </c>
    </row>
    <row r="40" spans="21:21" x14ac:dyDescent="0.2">
      <c r="U40" s="4" t="s">
        <v>47</v>
      </c>
    </row>
    <row r="41" spans="21:21" x14ac:dyDescent="0.2">
      <c r="U41" s="4" t="s">
        <v>37</v>
      </c>
    </row>
    <row r="42" spans="21:21" x14ac:dyDescent="0.2">
      <c r="U42" s="4" t="s">
        <v>51</v>
      </c>
    </row>
    <row r="43" spans="21:21" x14ac:dyDescent="0.2">
      <c r="U43" s="4" t="s">
        <v>46</v>
      </c>
    </row>
    <row r="44" spans="21:21" x14ac:dyDescent="0.2">
      <c r="U44" s="4" t="s">
        <v>41</v>
      </c>
    </row>
    <row r="45" spans="21:21" x14ac:dyDescent="0.2">
      <c r="U45" s="4" t="s">
        <v>60</v>
      </c>
    </row>
    <row r="46" spans="21:21" x14ac:dyDescent="0.2">
      <c r="U46" s="4" t="s">
        <v>99</v>
      </c>
    </row>
    <row r="47" spans="21:21" x14ac:dyDescent="0.2">
      <c r="U47" s="4" t="s">
        <v>100</v>
      </c>
    </row>
    <row r="48" spans="21:21" x14ac:dyDescent="0.2">
      <c r="U48" s="4" t="s">
        <v>331</v>
      </c>
    </row>
    <row r="49" spans="21:21" x14ac:dyDescent="0.2">
      <c r="U49" s="4" t="s">
        <v>375</v>
      </c>
    </row>
  </sheetData>
  <autoFilter ref="U2:U47" xr:uid="{A76D435C-CE8E-44A5-9443-7B6327A04F2D}">
    <sortState xmlns:xlrd2="http://schemas.microsoft.com/office/spreadsheetml/2017/richdata2" ref="U3:U47">
      <sortCondition ref="U2:U47"/>
    </sortState>
  </autoFilter>
  <customSheetViews>
    <customSheetView guid="{6A413C5E-66D3-4F44-AAA6-E84C5671B7D4}" showAutoFilter="1" topLeftCell="A10">
      <selection activeCell="U39" sqref="U39"/>
      <pageMargins left="0.7" right="0.7" top="0.75" bottom="0.75" header="0.3" footer="0.3"/>
      <autoFilter ref="U2:U47" xr:uid="{116D1865-92AA-4EEC-9DAB-AFC3F93000C1}">
        <sortState xmlns:xlrd2="http://schemas.microsoft.com/office/spreadsheetml/2017/richdata2" ref="U3:U47">
          <sortCondition ref="U2:U47"/>
        </sortState>
      </autoFilter>
    </customSheetView>
  </customSheetView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AC24-E4EA-476B-A2CD-6442DC29B813}">
  <dimension ref="AC2:AC3"/>
  <sheetViews>
    <sheetView workbookViewId="0">
      <selection activeCell="Z18" sqref="Z18"/>
    </sheetView>
  </sheetViews>
  <sheetFormatPr defaultRowHeight="14.25" x14ac:dyDescent="0.2"/>
  <sheetData>
    <row r="2" spans="29:29" x14ac:dyDescent="0.2">
      <c r="AC2" t="s">
        <v>377</v>
      </c>
    </row>
    <row r="3" spans="29:29" x14ac:dyDescent="0.2">
      <c r="AC3" t="s">
        <v>416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19BE9-6ED4-4468-AA21-5734B8F058F2}">
  <sheetPr codeName="גיליון6"/>
  <dimension ref="D1:AB47"/>
  <sheetViews>
    <sheetView topLeftCell="C1" workbookViewId="0">
      <selection activeCell="Y17" sqref="Y17:AB17"/>
    </sheetView>
  </sheetViews>
  <sheetFormatPr defaultRowHeight="14.25" x14ac:dyDescent="0.2"/>
  <cols>
    <col min="6" max="6" width="13.875" bestFit="1" customWidth="1"/>
  </cols>
  <sheetData>
    <row r="1" spans="4:28" x14ac:dyDescent="0.2">
      <c r="G1">
        <v>0.01</v>
      </c>
      <c r="H1">
        <v>1.4999999999999999E-2</v>
      </c>
      <c r="I1">
        <v>2.5000000000000001E-2</v>
      </c>
      <c r="J1">
        <v>0.04</v>
      </c>
      <c r="K1">
        <v>6.5000000000000002E-2</v>
      </c>
      <c r="L1">
        <v>0.1</v>
      </c>
      <c r="M1">
        <v>0.15</v>
      </c>
      <c r="N1">
        <v>0.25</v>
      </c>
      <c r="O1">
        <v>0.4</v>
      </c>
      <c r="P1">
        <v>0.65</v>
      </c>
      <c r="Q1">
        <v>1</v>
      </c>
      <c r="R1">
        <v>1.5</v>
      </c>
      <c r="S1">
        <v>2.5</v>
      </c>
      <c r="T1">
        <v>4</v>
      </c>
      <c r="U1">
        <v>6.5</v>
      </c>
      <c r="V1">
        <v>10</v>
      </c>
      <c r="Y1" s="212" t="s">
        <v>10</v>
      </c>
      <c r="Z1" s="212"/>
      <c r="AA1" s="212"/>
      <c r="AB1" s="212"/>
    </row>
    <row r="2" spans="4:28" x14ac:dyDescent="0.2">
      <c r="F2" t="s">
        <v>8</v>
      </c>
      <c r="Y2" s="212" t="s">
        <v>11</v>
      </c>
      <c r="Z2" s="212"/>
      <c r="AA2" s="212"/>
      <c r="AB2" s="212"/>
    </row>
    <row r="3" spans="4:28" x14ac:dyDescent="0.2">
      <c r="D3">
        <v>2</v>
      </c>
      <c r="E3" s="2">
        <v>2</v>
      </c>
      <c r="F3" s="2">
        <v>8</v>
      </c>
      <c r="G3" s="3"/>
      <c r="H3" s="3"/>
      <c r="I3" s="3"/>
      <c r="J3" s="3"/>
      <c r="K3" s="3"/>
      <c r="L3" s="3"/>
      <c r="M3" s="3"/>
      <c r="N3" s="3"/>
      <c r="O3" s="3"/>
      <c r="P3" s="3"/>
      <c r="Q3" s="3"/>
      <c r="R3" s="3"/>
      <c r="S3" s="3">
        <v>5</v>
      </c>
      <c r="T3" s="3">
        <v>3</v>
      </c>
      <c r="U3" s="3">
        <v>2</v>
      </c>
      <c r="V3" s="3">
        <v>2</v>
      </c>
      <c r="W3" s="2"/>
      <c r="Y3" s="212" t="s">
        <v>12</v>
      </c>
      <c r="Z3" s="212"/>
      <c r="AA3" s="212"/>
      <c r="AB3" s="212"/>
    </row>
    <row r="4" spans="4:28" x14ac:dyDescent="0.2">
      <c r="D4">
        <v>3</v>
      </c>
      <c r="E4" s="2">
        <v>9</v>
      </c>
      <c r="F4" s="2">
        <v>15</v>
      </c>
      <c r="G4" s="3"/>
      <c r="H4" s="3"/>
      <c r="I4" s="3"/>
      <c r="J4" s="3"/>
      <c r="K4" s="3"/>
      <c r="L4" s="3"/>
      <c r="M4" s="3"/>
      <c r="N4" s="3"/>
      <c r="O4" s="3"/>
      <c r="P4" s="3"/>
      <c r="Q4" s="3">
        <v>13</v>
      </c>
      <c r="R4" s="3">
        <v>8</v>
      </c>
      <c r="S4" s="3">
        <v>5</v>
      </c>
      <c r="T4" s="3">
        <v>3</v>
      </c>
      <c r="U4" s="3">
        <v>2</v>
      </c>
      <c r="V4" s="3">
        <v>2</v>
      </c>
      <c r="W4" s="2"/>
      <c r="Y4" s="212" t="s">
        <v>13</v>
      </c>
      <c r="Z4" s="212"/>
      <c r="AA4" s="212"/>
      <c r="AB4" s="212"/>
    </row>
    <row r="5" spans="4:28" x14ac:dyDescent="0.2">
      <c r="D5">
        <v>4</v>
      </c>
      <c r="E5" s="2">
        <v>16</v>
      </c>
      <c r="F5" s="2">
        <v>25</v>
      </c>
      <c r="G5" s="3"/>
      <c r="H5" s="3"/>
      <c r="I5" s="3"/>
      <c r="J5" s="3"/>
      <c r="K5" s="3"/>
      <c r="L5" s="3"/>
      <c r="M5" s="3"/>
      <c r="N5" s="3"/>
      <c r="O5" s="3"/>
      <c r="P5" s="3">
        <v>20</v>
      </c>
      <c r="Q5" s="3">
        <v>13</v>
      </c>
      <c r="R5" s="3">
        <v>8</v>
      </c>
      <c r="S5" s="3">
        <v>5</v>
      </c>
      <c r="T5" s="3">
        <v>3</v>
      </c>
      <c r="U5" s="3">
        <v>3</v>
      </c>
      <c r="V5" s="3">
        <v>2</v>
      </c>
      <c r="W5" s="2"/>
      <c r="Y5" s="212" t="s">
        <v>14</v>
      </c>
      <c r="Z5" s="212"/>
      <c r="AA5" s="212"/>
      <c r="AB5" s="212"/>
    </row>
    <row r="6" spans="4:28" x14ac:dyDescent="0.2">
      <c r="D6">
        <v>5</v>
      </c>
      <c r="E6" s="2">
        <v>26</v>
      </c>
      <c r="F6" s="2">
        <v>50</v>
      </c>
      <c r="G6" s="3"/>
      <c r="H6" s="3"/>
      <c r="I6" s="3"/>
      <c r="J6" s="3"/>
      <c r="K6" s="3"/>
      <c r="L6" s="3"/>
      <c r="M6" s="3"/>
      <c r="N6" s="3"/>
      <c r="O6" s="3">
        <v>32</v>
      </c>
      <c r="P6" s="3">
        <v>20</v>
      </c>
      <c r="Q6" s="3">
        <v>13</v>
      </c>
      <c r="R6" s="3">
        <v>8</v>
      </c>
      <c r="S6" s="3">
        <v>5</v>
      </c>
      <c r="T6" s="3">
        <v>5</v>
      </c>
      <c r="U6" s="3">
        <v>5</v>
      </c>
      <c r="V6" s="3">
        <v>3</v>
      </c>
      <c r="W6" s="2"/>
      <c r="Y6" s="212" t="s">
        <v>15</v>
      </c>
      <c r="Z6" s="212"/>
      <c r="AA6" s="212"/>
      <c r="AB6" s="212"/>
    </row>
    <row r="7" spans="4:28" x14ac:dyDescent="0.2">
      <c r="D7">
        <v>6</v>
      </c>
      <c r="E7" s="2">
        <v>51</v>
      </c>
      <c r="F7" s="2">
        <v>90</v>
      </c>
      <c r="G7" s="3"/>
      <c r="H7" s="3"/>
      <c r="I7" s="3"/>
      <c r="J7" s="3"/>
      <c r="K7" s="3"/>
      <c r="L7" s="3"/>
      <c r="M7" s="3">
        <v>80</v>
      </c>
      <c r="N7" s="3">
        <v>50</v>
      </c>
      <c r="O7" s="3">
        <v>32</v>
      </c>
      <c r="P7" s="3">
        <v>20</v>
      </c>
      <c r="Q7" s="3">
        <v>13</v>
      </c>
      <c r="R7" s="3">
        <v>8</v>
      </c>
      <c r="S7" s="3">
        <v>7</v>
      </c>
      <c r="T7" s="3">
        <v>6</v>
      </c>
      <c r="U7" s="3">
        <v>5</v>
      </c>
      <c r="V7" s="3">
        <v>4</v>
      </c>
      <c r="W7" s="2"/>
      <c r="Y7" s="212" t="s">
        <v>16</v>
      </c>
      <c r="Z7" s="212"/>
      <c r="AA7" s="212"/>
      <c r="AB7" s="212"/>
    </row>
    <row r="8" spans="4:28" x14ac:dyDescent="0.2">
      <c r="D8">
        <v>7</v>
      </c>
      <c r="E8" s="2">
        <v>91</v>
      </c>
      <c r="F8" s="2">
        <v>150</v>
      </c>
      <c r="G8" s="3"/>
      <c r="H8" s="3"/>
      <c r="I8" s="3"/>
      <c r="J8" s="3"/>
      <c r="K8" s="3"/>
      <c r="L8" s="3">
        <v>125</v>
      </c>
      <c r="M8" s="3">
        <v>80</v>
      </c>
      <c r="N8" s="3">
        <v>50</v>
      </c>
      <c r="O8" s="3">
        <v>32</v>
      </c>
      <c r="P8" s="3">
        <v>20</v>
      </c>
      <c r="Q8" s="3">
        <v>13</v>
      </c>
      <c r="R8" s="3">
        <v>12</v>
      </c>
      <c r="S8" s="3">
        <v>11</v>
      </c>
      <c r="T8" s="3">
        <v>7</v>
      </c>
      <c r="U8" s="3">
        <v>6</v>
      </c>
      <c r="V8" s="3">
        <v>5</v>
      </c>
      <c r="W8" s="2"/>
      <c r="Y8" s="212" t="s">
        <v>17</v>
      </c>
      <c r="Z8" s="212"/>
      <c r="AA8" s="212"/>
      <c r="AB8" s="212"/>
    </row>
    <row r="9" spans="4:28" x14ac:dyDescent="0.2">
      <c r="D9">
        <v>8</v>
      </c>
      <c r="E9" s="2">
        <v>151</v>
      </c>
      <c r="F9" s="2">
        <v>280</v>
      </c>
      <c r="G9" s="3"/>
      <c r="H9" s="3"/>
      <c r="I9" s="3"/>
      <c r="J9" s="3"/>
      <c r="K9" s="3">
        <v>200</v>
      </c>
      <c r="L9" s="3">
        <v>125</v>
      </c>
      <c r="M9" s="3">
        <v>80</v>
      </c>
      <c r="N9" s="3">
        <v>50</v>
      </c>
      <c r="O9" s="3">
        <v>32</v>
      </c>
      <c r="P9" s="3">
        <v>20</v>
      </c>
      <c r="Q9" s="3">
        <v>20</v>
      </c>
      <c r="R9" s="3">
        <v>19</v>
      </c>
      <c r="S9" s="3">
        <v>13</v>
      </c>
      <c r="T9" s="3">
        <v>10</v>
      </c>
      <c r="U9" s="3">
        <v>7</v>
      </c>
      <c r="V9" s="3">
        <v>6</v>
      </c>
      <c r="W9" s="2"/>
      <c r="Y9" s="212" t="s">
        <v>18</v>
      </c>
      <c r="Z9" s="212"/>
      <c r="AA9" s="212"/>
      <c r="AB9" s="212"/>
    </row>
    <row r="10" spans="4:28" x14ac:dyDescent="0.2">
      <c r="D10">
        <v>9</v>
      </c>
      <c r="E10" s="2">
        <v>281</v>
      </c>
      <c r="F10" s="2">
        <v>500</v>
      </c>
      <c r="G10" s="3"/>
      <c r="H10" s="3"/>
      <c r="I10" s="3"/>
      <c r="J10" s="3">
        <v>315</v>
      </c>
      <c r="K10" s="3">
        <v>200</v>
      </c>
      <c r="L10" s="3">
        <v>125</v>
      </c>
      <c r="M10" s="3">
        <v>80</v>
      </c>
      <c r="N10" s="3">
        <v>50</v>
      </c>
      <c r="O10" s="3">
        <v>48</v>
      </c>
      <c r="P10" s="3">
        <v>47</v>
      </c>
      <c r="Q10" s="3">
        <v>29</v>
      </c>
      <c r="R10" s="3">
        <v>21</v>
      </c>
      <c r="S10" s="3">
        <v>16</v>
      </c>
      <c r="T10" s="3">
        <v>11</v>
      </c>
      <c r="U10" s="3">
        <v>9</v>
      </c>
      <c r="V10" s="3">
        <v>7</v>
      </c>
      <c r="W10" s="2"/>
      <c r="Y10" s="212" t="s">
        <v>19</v>
      </c>
      <c r="Z10" s="212"/>
      <c r="AA10" s="212"/>
      <c r="AB10" s="212"/>
    </row>
    <row r="11" spans="4:28" x14ac:dyDescent="0.2">
      <c r="D11">
        <v>10</v>
      </c>
      <c r="E11" s="2">
        <v>501</v>
      </c>
      <c r="F11" s="2">
        <v>1200</v>
      </c>
      <c r="G11" s="3"/>
      <c r="H11" s="3">
        <v>800</v>
      </c>
      <c r="I11" s="3">
        <v>500</v>
      </c>
      <c r="J11" s="3">
        <v>315</v>
      </c>
      <c r="K11" s="3">
        <v>200</v>
      </c>
      <c r="L11" s="3">
        <v>125</v>
      </c>
      <c r="M11" s="3">
        <v>80</v>
      </c>
      <c r="N11" s="3">
        <v>75</v>
      </c>
      <c r="O11" s="3">
        <v>73</v>
      </c>
      <c r="P11" s="3">
        <v>47</v>
      </c>
      <c r="Q11" s="3">
        <v>34</v>
      </c>
      <c r="R11" s="3">
        <v>27</v>
      </c>
      <c r="S11" s="3">
        <v>19</v>
      </c>
      <c r="T11" s="3">
        <v>15</v>
      </c>
      <c r="U11" s="3">
        <v>11</v>
      </c>
      <c r="V11" s="3">
        <v>8</v>
      </c>
      <c r="W11" s="2"/>
      <c r="Y11" s="212" t="s">
        <v>20</v>
      </c>
      <c r="Z11" s="212"/>
      <c r="AA11" s="212"/>
      <c r="AB11" s="212"/>
    </row>
    <row r="12" spans="4:28" x14ac:dyDescent="0.2">
      <c r="D12">
        <v>11</v>
      </c>
      <c r="E12" s="2">
        <v>1201</v>
      </c>
      <c r="F12" s="2">
        <v>3200</v>
      </c>
      <c r="G12" s="3">
        <v>1250</v>
      </c>
      <c r="H12" s="3">
        <v>800</v>
      </c>
      <c r="I12" s="3">
        <v>500</v>
      </c>
      <c r="J12" s="3">
        <v>315</v>
      </c>
      <c r="K12" s="3">
        <v>200</v>
      </c>
      <c r="L12" s="3">
        <v>125</v>
      </c>
      <c r="M12" s="3">
        <v>120</v>
      </c>
      <c r="N12" s="3">
        <v>116</v>
      </c>
      <c r="O12" s="3">
        <v>73</v>
      </c>
      <c r="P12" s="3">
        <v>53</v>
      </c>
      <c r="Q12" s="3">
        <v>42</v>
      </c>
      <c r="R12" s="3">
        <v>35</v>
      </c>
      <c r="S12" s="3">
        <v>23</v>
      </c>
      <c r="T12" s="3">
        <v>18</v>
      </c>
      <c r="U12" s="3">
        <v>13</v>
      </c>
      <c r="V12" s="3">
        <v>9</v>
      </c>
      <c r="W12" s="2"/>
      <c r="Y12" s="212" t="s">
        <v>21</v>
      </c>
      <c r="Z12" s="212"/>
      <c r="AA12" s="212"/>
      <c r="AB12" s="212"/>
    </row>
    <row r="13" spans="4:28" x14ac:dyDescent="0.2">
      <c r="D13">
        <v>12</v>
      </c>
      <c r="E13" s="2">
        <v>3201</v>
      </c>
      <c r="F13" s="2">
        <v>10000</v>
      </c>
      <c r="G13" s="3">
        <v>1250</v>
      </c>
      <c r="H13" s="3">
        <v>800</v>
      </c>
      <c r="I13" s="3">
        <v>500</v>
      </c>
      <c r="J13" s="3">
        <v>315</v>
      </c>
      <c r="K13" s="3">
        <v>200</v>
      </c>
      <c r="L13" s="3">
        <v>192</v>
      </c>
      <c r="M13" s="3">
        <v>189</v>
      </c>
      <c r="N13" s="3">
        <v>116</v>
      </c>
      <c r="O13" s="3">
        <v>86</v>
      </c>
      <c r="P13" s="3">
        <v>68</v>
      </c>
      <c r="Q13" s="3">
        <v>50</v>
      </c>
      <c r="R13" s="3">
        <v>38</v>
      </c>
      <c r="S13" s="3">
        <v>29</v>
      </c>
      <c r="T13" s="3">
        <v>22</v>
      </c>
      <c r="U13" s="3">
        <v>15</v>
      </c>
      <c r="V13" s="3">
        <v>9</v>
      </c>
      <c r="W13" s="2"/>
      <c r="Y13" s="212" t="s">
        <v>22</v>
      </c>
      <c r="Z13" s="212"/>
      <c r="AA13" s="212"/>
      <c r="AB13" s="212"/>
    </row>
    <row r="14" spans="4:28" x14ac:dyDescent="0.2">
      <c r="D14">
        <v>13</v>
      </c>
      <c r="E14" s="2">
        <v>10001</v>
      </c>
      <c r="F14" s="2">
        <v>35000</v>
      </c>
      <c r="G14" s="3">
        <v>1250</v>
      </c>
      <c r="H14" s="3">
        <v>800</v>
      </c>
      <c r="I14" s="3">
        <v>500</v>
      </c>
      <c r="J14" s="3">
        <v>315</v>
      </c>
      <c r="K14" s="3">
        <v>300</v>
      </c>
      <c r="L14" s="3">
        <v>294</v>
      </c>
      <c r="M14" s="3">
        <v>189</v>
      </c>
      <c r="N14" s="3">
        <v>135</v>
      </c>
      <c r="O14" s="3">
        <v>108</v>
      </c>
      <c r="P14" s="3">
        <v>77</v>
      </c>
      <c r="Q14" s="3">
        <v>60</v>
      </c>
      <c r="R14" s="3">
        <v>46</v>
      </c>
      <c r="S14" s="3">
        <v>35</v>
      </c>
      <c r="T14" s="3">
        <v>29</v>
      </c>
      <c r="U14" s="3">
        <v>15</v>
      </c>
      <c r="V14" s="3">
        <v>9</v>
      </c>
      <c r="W14" s="2"/>
      <c r="Y14" s="212" t="s">
        <v>23</v>
      </c>
      <c r="Z14" s="212"/>
      <c r="AA14" s="212"/>
      <c r="AB14" s="212"/>
    </row>
    <row r="15" spans="4:28" x14ac:dyDescent="0.2">
      <c r="D15">
        <v>14</v>
      </c>
      <c r="E15" s="2">
        <v>35001</v>
      </c>
      <c r="F15" s="2">
        <v>150000</v>
      </c>
      <c r="G15" s="3">
        <v>1250</v>
      </c>
      <c r="H15" s="3">
        <v>800</v>
      </c>
      <c r="I15" s="3">
        <v>500</v>
      </c>
      <c r="J15" s="3">
        <v>490</v>
      </c>
      <c r="K15" s="3">
        <v>476</v>
      </c>
      <c r="L15" s="3">
        <v>294</v>
      </c>
      <c r="M15" s="3">
        <v>218</v>
      </c>
      <c r="N15" s="3">
        <v>170</v>
      </c>
      <c r="O15" s="3">
        <v>123</v>
      </c>
      <c r="P15" s="3">
        <v>96</v>
      </c>
      <c r="Q15" s="3">
        <v>74</v>
      </c>
      <c r="R15" s="3">
        <v>56</v>
      </c>
      <c r="S15" s="3">
        <v>40</v>
      </c>
      <c r="T15" s="3">
        <v>29</v>
      </c>
      <c r="U15" s="3">
        <v>15</v>
      </c>
      <c r="V15" s="3">
        <v>9</v>
      </c>
      <c r="W15" s="2"/>
      <c r="Y15" s="212" t="s">
        <v>24</v>
      </c>
      <c r="Z15" s="212"/>
      <c r="AA15" s="212"/>
      <c r="AB15" s="212"/>
    </row>
    <row r="16" spans="4:28" x14ac:dyDescent="0.2">
      <c r="D16">
        <v>15</v>
      </c>
      <c r="E16" s="2">
        <v>150001</v>
      </c>
      <c r="F16" s="2">
        <v>500000</v>
      </c>
      <c r="G16" s="3">
        <v>1250</v>
      </c>
      <c r="H16" s="3">
        <v>800</v>
      </c>
      <c r="I16" s="3">
        <v>750</v>
      </c>
      <c r="J16" s="3">
        <v>715</v>
      </c>
      <c r="K16" s="3">
        <v>476</v>
      </c>
      <c r="L16" s="3">
        <v>345</v>
      </c>
      <c r="M16" s="3">
        <v>270</v>
      </c>
      <c r="N16" s="3">
        <v>200</v>
      </c>
      <c r="O16" s="3">
        <v>156</v>
      </c>
      <c r="P16" s="3">
        <v>119</v>
      </c>
      <c r="Q16" s="3">
        <v>90</v>
      </c>
      <c r="R16" s="3">
        <v>64</v>
      </c>
      <c r="S16" s="3">
        <v>40</v>
      </c>
      <c r="T16" s="3">
        <v>29</v>
      </c>
      <c r="U16" s="3">
        <v>15</v>
      </c>
      <c r="V16" s="3">
        <v>9</v>
      </c>
      <c r="W16" s="2"/>
      <c r="Y16" s="212" t="s">
        <v>415</v>
      </c>
      <c r="Z16" s="212"/>
      <c r="AA16" s="212"/>
      <c r="AB16" s="212"/>
    </row>
    <row r="17" spans="4:28" x14ac:dyDescent="0.2">
      <c r="D17">
        <v>16</v>
      </c>
      <c r="E17" s="2">
        <v>500001</v>
      </c>
      <c r="F17" s="2" t="s">
        <v>9</v>
      </c>
      <c r="G17" s="3">
        <v>1250</v>
      </c>
      <c r="H17" s="4">
        <v>1200</v>
      </c>
      <c r="I17" s="4">
        <v>1112</v>
      </c>
      <c r="J17" s="4">
        <v>715</v>
      </c>
      <c r="K17" s="4">
        <v>556</v>
      </c>
      <c r="L17" s="4">
        <v>435</v>
      </c>
      <c r="M17" s="4">
        <v>303</v>
      </c>
      <c r="N17" s="4">
        <v>244</v>
      </c>
      <c r="O17" s="4">
        <v>189</v>
      </c>
      <c r="P17" s="4">
        <v>143</v>
      </c>
      <c r="Q17" s="4">
        <v>102</v>
      </c>
      <c r="R17" s="4">
        <v>64</v>
      </c>
      <c r="S17" s="4">
        <v>40</v>
      </c>
      <c r="T17" s="3">
        <v>29</v>
      </c>
      <c r="U17" s="3">
        <v>15</v>
      </c>
      <c r="V17" s="3">
        <v>9</v>
      </c>
      <c r="Y17" s="212"/>
      <c r="Z17" s="212"/>
      <c r="AA17" s="212"/>
      <c r="AB17" s="212"/>
    </row>
    <row r="23" spans="4:28" ht="15" thickBot="1" x14ac:dyDescent="0.25"/>
    <row r="24" spans="4:28" x14ac:dyDescent="0.2">
      <c r="F24" s="34"/>
      <c r="G24" s="581" t="s">
        <v>105</v>
      </c>
      <c r="H24" s="581"/>
      <c r="I24" s="581"/>
      <c r="J24" s="581"/>
      <c r="K24" s="581"/>
      <c r="L24" s="581"/>
      <c r="M24" s="581"/>
      <c r="N24" s="36"/>
    </row>
    <row r="25" spans="4:28" x14ac:dyDescent="0.2">
      <c r="F25" s="37"/>
      <c r="G25" s="296"/>
      <c r="H25" s="296"/>
      <c r="I25" s="296"/>
      <c r="J25" s="296"/>
      <c r="K25" s="296"/>
      <c r="L25" s="296"/>
      <c r="M25" s="296"/>
      <c r="N25" s="38"/>
    </row>
    <row r="26" spans="4:28" x14ac:dyDescent="0.2">
      <c r="F26" s="37"/>
      <c r="N26" s="38"/>
    </row>
    <row r="27" spans="4:28" x14ac:dyDescent="0.2">
      <c r="F27" s="37"/>
      <c r="G27" s="4" cm="1">
        <f t="array" ref="G27:H27">'דוח ביקורת'!I17:J17</f>
        <v>0</v>
      </c>
      <c r="H27">
        <v>0</v>
      </c>
      <c r="N27" s="38"/>
    </row>
    <row r="28" spans="4:28" x14ac:dyDescent="0.2">
      <c r="F28" s="37"/>
      <c r="N28" s="38"/>
    </row>
    <row r="29" spans="4:28" x14ac:dyDescent="0.2">
      <c r="F29" s="37"/>
      <c r="G29" s="4" cm="1">
        <f t="array" ref="G29:N29">IF('דוח ביקורת'!C15:J15=דגימה!Y1,1,IF('דוח ביקורת'!C15:J15=דגימה!Y2,2,IF('דוח ביקורת'!C15:J15=דגימה!Y3,3,IF('דוח ביקורת'!C15:J15=דגימה!Y4,4,IF('דוח ביקורת'!C15:J15=דגימה!Y5,5,IF('דוח ביקורת'!C15:J15=דגימה!Y6,6,IF('דוח ביקורת'!C15:J15=דגימה!Y7,7,IF('דוח ביקורת'!C15:J15=דגימה!Y8,8,IF('דוח ביקורת'!C15:J15=דגימה!Y9,9,IF('דוח ביקורת'!C15:J15=דגימה!Y10,10,IF('דוח ביקורת'!C15:J15=דגימה!Y11,11,IF('דוח ביקורת'!C15:J15=דגימה!Y12,12,IF('דוח ביקורת'!C15:J15=דגימה!Y13,13,IF('דוח ביקורת'!C15:J15=דגימה!Y14,14,15))))))))))))))</f>
        <v>15</v>
      </c>
      <c r="H29">
        <v>15</v>
      </c>
      <c r="I29">
        <v>15</v>
      </c>
      <c r="J29">
        <v>15</v>
      </c>
      <c r="K29">
        <v>15</v>
      </c>
      <c r="L29">
        <v>15</v>
      </c>
      <c r="M29">
        <v>15</v>
      </c>
      <c r="N29" s="38">
        <v>15</v>
      </c>
    </row>
    <row r="30" spans="4:28" x14ac:dyDescent="0.2">
      <c r="F30" s="37"/>
      <c r="N30" s="38"/>
    </row>
    <row r="31" spans="4:28" x14ac:dyDescent="0.2">
      <c r="F31" s="37"/>
      <c r="G31" s="4">
        <f>IF($G$29=1,G3,IF($G$29=2,H3,IF($G$29=3,I3,IF($G$29=4,J3,IF($G$29=5,K3,IF($G$29=6,L3,IF($G$29=7,M3,IF($G$29=8,N3,IF($G$29=9,O3,IF($G$29=10,P3,IF($G$29=11,Q3,IF($G$29=12,R3,IF($G$29=13,S3,IF($G$29=14,T3,IF($G$29=15,U3,IF($G$29=16,V3,"NA"))))))))))))))))</f>
        <v>2</v>
      </c>
      <c r="I31" s="4">
        <f>IF(G27=1,1,IF(G27&lt;E4,G31,IF(G27&lt;E5,G32,IF(G27&lt;E6,G33,IF(G27&lt;E7,G34,IF(G27&lt;E8,G35,IF(G27&lt;E9,G36,IF(G27&lt;E10,G37,IF(G27&lt;E11,G38,IF(G27&lt;E12,G39,IF(G27&lt;E13,G40,IF(G27&lt;E14,G41,IF(G27&lt;E15,G42,IF(G27&lt;E16,G43,IF(G27&lt;E17,G44,G45)))))))))))))))</f>
        <v>2</v>
      </c>
      <c r="J31" t="s">
        <v>104</v>
      </c>
      <c r="N31" s="38"/>
    </row>
    <row r="32" spans="4:28" x14ac:dyDescent="0.2">
      <c r="F32" s="37"/>
      <c r="G32" s="4">
        <f t="shared" ref="G32:G45" si="0">IF($G$29=1,G4,IF($G$29=2,H4,IF($G$29=3,I4,IF($G$29=4,J4,IF($G$29=5,K4,IF($G$29=6,L4,IF($G$29=7,M4,IF($G$29=8,N4,IF($G$29=9,O4,IF($G$29=10,P4,IF($G$29=11,Q4,IF($G$29=12,R4,IF($G$29=13,S4,IF($G$29=14,T4,IF($G$29=15,U4,IF($G$29=16,V4,"NA"))))))))))))))))</f>
        <v>2</v>
      </c>
      <c r="N32" s="38"/>
    </row>
    <row r="33" spans="6:14" x14ac:dyDescent="0.2">
      <c r="F33" s="37"/>
      <c r="G33" s="4">
        <f t="shared" si="0"/>
        <v>3</v>
      </c>
      <c r="N33" s="38"/>
    </row>
    <row r="34" spans="6:14" x14ac:dyDescent="0.2">
      <c r="F34" s="37"/>
      <c r="G34" s="4">
        <f t="shared" si="0"/>
        <v>5</v>
      </c>
      <c r="N34" s="38"/>
    </row>
    <row r="35" spans="6:14" x14ac:dyDescent="0.2">
      <c r="F35" s="37"/>
      <c r="G35" s="4">
        <f t="shared" si="0"/>
        <v>5</v>
      </c>
      <c r="N35" s="38"/>
    </row>
    <row r="36" spans="6:14" x14ac:dyDescent="0.2">
      <c r="F36" s="37"/>
      <c r="G36" s="4">
        <f t="shared" si="0"/>
        <v>6</v>
      </c>
      <c r="N36" s="38"/>
    </row>
    <row r="37" spans="6:14" x14ac:dyDescent="0.2">
      <c r="F37" s="37"/>
      <c r="G37" s="4">
        <f t="shared" si="0"/>
        <v>7</v>
      </c>
      <c r="N37" s="38"/>
    </row>
    <row r="38" spans="6:14" x14ac:dyDescent="0.2">
      <c r="F38" s="37"/>
      <c r="G38" s="4">
        <f t="shared" si="0"/>
        <v>9</v>
      </c>
      <c r="N38" s="38"/>
    </row>
    <row r="39" spans="6:14" x14ac:dyDescent="0.2">
      <c r="F39" s="37"/>
      <c r="G39" s="4">
        <f t="shared" si="0"/>
        <v>11</v>
      </c>
      <c r="N39" s="38"/>
    </row>
    <row r="40" spans="6:14" x14ac:dyDescent="0.2">
      <c r="F40" s="37"/>
      <c r="G40" s="4">
        <f t="shared" si="0"/>
        <v>13</v>
      </c>
      <c r="N40" s="38"/>
    </row>
    <row r="41" spans="6:14" x14ac:dyDescent="0.2">
      <c r="F41" s="37"/>
      <c r="G41" s="4">
        <f t="shared" si="0"/>
        <v>15</v>
      </c>
      <c r="N41" s="38"/>
    </row>
    <row r="42" spans="6:14" x14ac:dyDescent="0.2">
      <c r="F42" s="37"/>
      <c r="G42" s="4">
        <f t="shared" si="0"/>
        <v>15</v>
      </c>
      <c r="N42" s="38"/>
    </row>
    <row r="43" spans="6:14" x14ac:dyDescent="0.2">
      <c r="F43" s="37"/>
      <c r="G43" s="4">
        <f t="shared" si="0"/>
        <v>15</v>
      </c>
      <c r="N43" s="38"/>
    </row>
    <row r="44" spans="6:14" x14ac:dyDescent="0.2">
      <c r="F44" s="37"/>
      <c r="G44" s="4">
        <f t="shared" si="0"/>
        <v>15</v>
      </c>
      <c r="N44" s="38"/>
    </row>
    <row r="45" spans="6:14" x14ac:dyDescent="0.2">
      <c r="F45" s="37"/>
      <c r="G45" s="4">
        <f t="shared" si="0"/>
        <v>15</v>
      </c>
      <c r="N45" s="38"/>
    </row>
    <row r="46" spans="6:14" x14ac:dyDescent="0.2">
      <c r="F46" s="37"/>
      <c r="N46" s="38"/>
    </row>
    <row r="47" spans="6:14" ht="15" thickBot="1" x14ac:dyDescent="0.25">
      <c r="F47" s="39"/>
      <c r="G47" s="23"/>
      <c r="H47" s="23"/>
      <c r="I47" s="23"/>
      <c r="J47" s="23"/>
      <c r="K47" s="23"/>
      <c r="L47" s="23"/>
      <c r="M47" s="23"/>
      <c r="N47" s="40"/>
    </row>
  </sheetData>
  <sheetProtection algorithmName="SHA-512" hashValue="E8RkG4VPx+toKIcmDkYnEtqfKAeulCPI+JITuSIQ1OqVvJMatn4Jc7/+ejDnkxH8pQv8sd7i9QnGt6YYJxXMyw==" saltValue="m2GEj88FpmJKvxE0RAbEWw==" spinCount="100000" sheet="1" objects="1" scenarios="1" selectLockedCells="1" selectUnlockedCells="1"/>
  <customSheetViews>
    <customSheetView guid="{6A413C5E-66D3-4F44-AAA6-E84C5671B7D4}">
      <selection activeCell="A3" sqref="A3"/>
      <pageMargins left="0.7" right="0.7" top="0.75" bottom="0.75" header="0.3" footer="0.3"/>
    </customSheetView>
  </customSheetViews>
  <mergeCells count="18">
    <mergeCell ref="Y6:AB6"/>
    <mergeCell ref="Y7:AB7"/>
    <mergeCell ref="Y8:AB8"/>
    <mergeCell ref="Y9:AB9"/>
    <mergeCell ref="Y10:AB10"/>
    <mergeCell ref="Y1:AB1"/>
    <mergeCell ref="Y2:AB2"/>
    <mergeCell ref="Y3:AB3"/>
    <mergeCell ref="Y4:AB4"/>
    <mergeCell ref="Y5:AB5"/>
    <mergeCell ref="G24:M25"/>
    <mergeCell ref="Y17:AB17"/>
    <mergeCell ref="Y11:AB11"/>
    <mergeCell ref="Y12:AB12"/>
    <mergeCell ref="Y13:AB13"/>
    <mergeCell ref="Y14:AB14"/>
    <mergeCell ref="Y15:AB15"/>
    <mergeCell ref="Y16:AB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88C8B4-B9AC-4C87-83F3-123E1A960E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15</vt:i4>
      </vt:variant>
      <vt:variant>
        <vt:lpstr>טווחים בעלי שם</vt:lpstr>
      </vt:variant>
      <vt:variant>
        <vt:i4>13</vt:i4>
      </vt:variant>
    </vt:vector>
  </HeadingPairs>
  <TitlesOfParts>
    <vt:vector size="28" baseType="lpstr">
      <vt:lpstr>דוח ביקורת</vt:lpstr>
      <vt:lpstr>גיליון1</vt:lpstr>
      <vt:lpstr>מינ- מקס</vt:lpstr>
      <vt:lpstr>תהליך דפינה 2 </vt:lpstr>
      <vt:lpstr>תהליך דפינה 1</vt:lpstr>
      <vt:lpstr>COC</vt:lpstr>
      <vt:lpstr>פריט ראשון</vt:lpstr>
      <vt:lpstr>FAI</vt:lpstr>
      <vt:lpstr>RC</vt:lpstr>
      <vt:lpstr>מבקר</vt:lpstr>
      <vt:lpstr>ספקים ותהליכים</vt:lpstr>
      <vt:lpstr>אפיון מידה</vt:lpstr>
      <vt:lpstr>כלי מדידה</vt:lpstr>
      <vt:lpstr>לכוחות</vt:lpstr>
      <vt:lpstr>דגימה</vt:lpstr>
      <vt:lpstr>'RC'!_Hlk98841350</vt:lpstr>
      <vt:lpstr>FAI!Check1</vt:lpstr>
      <vt:lpstr>FAI!Check3</vt:lpstr>
      <vt:lpstr>FAI!Check4</vt:lpstr>
      <vt:lpstr>FAI!Check5</vt:lpstr>
      <vt:lpstr>COC!WPrint_Area_W</vt:lpstr>
      <vt:lpstr>FAI!WPrint_Area_W</vt:lpstr>
      <vt:lpstr>'דוח ביקורת'!WPrint_Area_W</vt:lpstr>
      <vt:lpstr>'דוח ביקורת'!WPrint_TitlesW</vt:lpstr>
      <vt:lpstr>'מינ- מקס'!WPrint_TitlesW</vt:lpstr>
      <vt:lpstr>'פריט ראשון'!WPrint_TitlesW</vt:lpstr>
      <vt:lpstr>'תהליך דפינה 1'!WPrint_TitlesW</vt:lpstr>
      <vt:lpstr>'תהליך דפינה 2 '!WPrint_TitlesW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MORAN AVIDAN</dc:creator>
  <cp:lastModifiedBy>אבידן דלילה</cp:lastModifiedBy>
  <cp:lastPrinted>2026-02-02T09:55:39Z</cp:lastPrinted>
  <dcterms:created xsi:type="dcterms:W3CDTF">2024-01-11T13:17:49Z</dcterms:created>
  <dcterms:modified xsi:type="dcterms:W3CDTF">2026-05-07T13:19:16Z</dcterms:modified>
</cp:coreProperties>
</file>